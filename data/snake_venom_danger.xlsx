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drawing3.xml" ContentType="application/vnd.openxmlformats-officedocument.drawing+xml"/>
  <Override PartName="/xl/drawings/vmlDrawing5.vml" ContentType="application/vnd.openxmlformats-officedocument.vmlDrawing"/>
  <Override PartName="/xl/drawings/drawing4.xml" ContentType="application/vnd.openxmlformats-officedocument.drawing+xml"/>
  <Override PartName="/xl/drawings/vmlDrawing6.vml" ContentType="application/vnd.openxmlformats-officedocument.vmlDrawing"/>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cores" sheetId="1" state="visible" r:id="rId3"/>
    <sheet name="Combined" sheetId="2" state="visible" r:id="rId4"/>
    <sheet name="Species" sheetId="3" state="visible" r:id="rId5"/>
    <sheet name="LD50 Sources" sheetId="4" state="visible" r:id="rId6"/>
    <sheet name="Yield Sources" sheetId="5" state="visible" r:id="rId7"/>
    <sheet name="Clinical Sources" sheetId="6" state="visible" r:id="rId8"/>
    <sheet name="Settings" sheetId="7" state="visible" r:id="rId9"/>
    <sheet name="Method" sheetId="8" state="visible" r:id="rId10"/>
    <sheet name="Category Mapping" sheetId="9" state="visible" r:id="rId11"/>
    <sheet name="Change Log" sheetId="10" state="visible" r:id="rId12"/>
    <sheet name="QA Checks" sheetId="11" state="visible" r:id="rId13"/>
  </sheets>
  <definedNames>
    <definedName function="false" hidden="true" localSheetId="8" name="_xlnm._FilterDatabase" vbProcedure="false">'Category Mapping'!$A$1:$I$95</definedName>
    <definedName function="false" hidden="true" localSheetId="5" name="_xlnm._FilterDatabase" vbProcedure="false">'Clinical Sources'!$A$1:$N$12</definedName>
    <definedName function="false" hidden="true" localSheetId="1" name="_xlnm._FilterDatabase" vbProcedure="false">Combined!$A$1:$O$95</definedName>
    <definedName function="false" hidden="true" localSheetId="3" name="_xlnm._FilterDatabase" vbProcedure="false">'LD50 Sources'!$A$1:$L$124</definedName>
    <definedName function="false" hidden="true" localSheetId="2" name="_xlnm._FilterDatabase" vbProcedure="false">Species!$A$1:$U$95</definedName>
    <definedName function="false" hidden="true" localSheetId="4" name="_xlnm._FilterDatabase" vbProcedure="false">'Yield Sources'!$A$1:$N$87</definedName>
    <definedName function="false" hidden="false" name="access_labels" vbProcedure="false">Settings!$A$42:$A$46</definedName>
    <definedName function="false" hidden="false" name="access_ord" vbProcedure="false">Settings!$B$42:$B$46</definedName>
    <definedName function="false" hidden="false" name="ld_least" vbProcedure="false">Settings!$B$23</definedName>
    <definedName function="false" hidden="false" name="ld_most" vbProcedure="false">Settings!$B$22</definedName>
    <definedName function="false" hidden="false" name="min_dims" vbProcedure="false">Settings!$B$17</definedName>
    <definedName function="false" hidden="false" name="onset_dir" vbProcedure="false">Settings!$B$30</definedName>
    <definedName function="false" hidden="false" name="onset_labels" vbProcedure="false">Settings!$A$34:$A$38</definedName>
    <definedName function="false" hidden="false" name="onset_ord" vbProcedure="false">Settings!$B$34:$B$38</definedName>
    <definedName function="false" hidden="false" name="ord_ceil" vbProcedure="false">Settings!$B$29</definedName>
    <definedName function="false" hidden="false" name="ord_floor" vbProcedure="false">Settings!$B$28</definedName>
    <definedName function="false" hidden="false" name="w_access" vbProcedure="false">Settings!$B$15</definedName>
    <definedName function="false" hidden="false" name="w_bite" vbProcedure="false">Settings!$B$13</definedName>
    <definedName function="false" hidden="false" name="w_enc" vbProcedure="false">Settings!$B$12</definedName>
    <definedName function="false" hidden="false" name="w_haz" vbProcedure="false">Settings!$B$59</definedName>
    <definedName function="false" hidden="false" name="w_onset" vbProcedure="false">Settings!$B$14</definedName>
    <definedName function="false" hidden="false" name="w_pot" vbProcedure="false">Settings!$B$6</definedName>
    <definedName function="false" hidden="false" name="w_qty" vbProcedure="false">Settings!$B$7</definedName>
    <definedName function="false" hidden="false" name="w_risk" vbProcedure="false">Settings!$B$60</definedName>
    <definedName function="false" hidden="false" name="y_max" vbProcedure="false">Settings!$B$25</definedName>
    <definedName function="false" hidden="false" name="y_min" vbProcedure="false">Settings!$B$24</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Weighted mean of Potency and Quantity (weights on Settings). Mouse LD50 and milking yield only. Says nothing about how often the snake bites people.</t>
        </r>
      </text>
    </comment>
    <comment ref="E1" authorId="0">
      <text>
        <r>
          <rPr>
            <sz val="10"/>
            <rFont val="Arial"/>
            <family val="2"/>
          </rPr>
          <t xml:space="preserve">Weighted mean of Encounter, Bite propensity, Onset and Antivenom access (weights on Settings). All four are author estimates or category judgements - treat as indicative.</t>
        </r>
      </text>
    </comment>
    <comment ref="G1" authorId="0">
      <text>
        <r>
          <rPr>
            <sz val="10"/>
            <rFont val="Arial"/>
            <family val="2"/>
          </rPr>
          <t xml:space="preserve">Worst source tier of the LD50 and yield behind the Venom Hazard (A best, D placeholder).</t>
        </r>
      </text>
    </comment>
    <comment ref="H1" authorId="0">
      <text>
        <r>
          <rPr>
            <sz val="10"/>
            <rFont val="Arial"/>
            <family val="2"/>
          </rPr>
          <t xml:space="preserve">Automatic warnings: sources disagree by more than 1.5x, non-SC LD50 route, Tier D inputs.</t>
        </r>
      </text>
    </comment>
    <comment ref="I1" authorId="0">
      <text>
        <r>
          <rPr>
            <sz val="10"/>
            <rFont val="Arial"/>
            <family val="2"/>
          </rPr>
          <t xml:space="preserve">Outcome check, NOT a score input. * = Tier D (source not recorded). Scope in brackets - figures from different countries are not comparable.</t>
        </r>
      </text>
    </comment>
    <comment ref="J1" authorId="0">
      <text>
        <r>
          <rPr>
            <sz val="10"/>
            <rFont val="Arial"/>
            <family val="2"/>
          </rPr>
          <t xml:space="preserve">Outcome check, NOT a score input.</t>
        </r>
      </text>
    </comment>
    <comment ref="R1" authorId="0">
      <text>
        <r>
          <rPr>
            <sz val="10"/>
            <rFont val="Arial"/>
            <family val="2"/>
          </rPr>
          <t xml:space="preserve">Helper: row of this species within Species!A2:A300. Do not edit.</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From Species column C.</t>
        </r>
      </text>
    </comment>
    <comment ref="D1" authorId="0">
      <text>
        <r>
          <rPr>
            <sz val="10"/>
            <rFont val="Arial"/>
            <family val="2"/>
          </rPr>
          <t xml:space="preserve">The LD50 the model uses (Status = Used on LD50 Sources). Lower = more toxic. Route shown on Species; non-SC routes are flagged on Scores.</t>
        </r>
      </text>
    </comment>
    <comment ref="E1" authorId="0">
      <text>
        <r>
          <rPr>
            <sz val="10"/>
            <rFont val="Arial"/>
            <family val="2"/>
          </rPr>
          <t xml:space="preserve">Yield max from Yield Sources - the figure behind the Quantity dimension. Blank = no yield row, so no Venom Hazard.</t>
        </r>
      </text>
    </comment>
    <comment ref="F1" authorId="0">
      <text>
        <r>
          <rPr>
            <sz val="10"/>
            <rFont val="Arial"/>
            <family val="2"/>
          </rPr>
          <t xml:space="preserve">From Scores. Weighted mean of Potency (from LD50) and Quantity (from yield max).</t>
        </r>
      </text>
    </comment>
    <comment ref="G1" authorId="0">
      <text>
        <r>
          <rPr>
            <sz val="10"/>
            <rFont val="Arial"/>
            <family val="2"/>
          </rPr>
          <t xml:space="preserve">Human Risk dimension, from Scores. Encounter 1-10 mapped onto the ordinal floor/ceiling.</t>
        </r>
      </text>
    </comment>
    <comment ref="H1" authorId="0">
      <text>
        <r>
          <rPr>
            <sz val="10"/>
            <rFont val="Arial"/>
            <family val="2"/>
          </rPr>
          <t xml:space="preserve">Human Risk dimension, from Scores. Blank = unscored (v3.2 text described habitat, not temperament).</t>
        </r>
      </text>
    </comment>
    <comment ref="I1" authorId="0">
      <text>
        <r>
          <rPr>
            <sz val="10"/>
            <rFont val="Arial"/>
            <family val="2"/>
          </rPr>
          <t xml:space="preserve">Human Risk dimension, from Scores. Direction set on Settings B30 (default "mortality": SLOW onset scores high).</t>
        </r>
      </text>
    </comment>
    <comment ref="J1" authorId="0">
      <text>
        <r>
          <rPr>
            <sz val="10"/>
            <rFont val="Arial"/>
            <family val="2"/>
          </rPr>
          <t xml:space="preserve">Human Risk dimension, from Scores. High = less treatable.</t>
        </r>
      </text>
    </comment>
    <comment ref="K1" authorId="0">
      <text>
        <r>
          <rPr>
            <sz val="10"/>
            <rFont val="Arial"/>
            <family val="2"/>
          </rPr>
          <t xml:space="preserve">From Scores. Weighted mean of all four dimensions to its left (Settings B12:B15).</t>
        </r>
      </text>
    </comment>
    <comment ref="L1" authorId="0">
      <text>
        <r>
          <rPr>
            <sz val="10"/>
            <rFont val="Arial"/>
            <family val="2"/>
          </rPr>
          <t xml:space="preserve">Weighted mean of Venom Hazard and Human Risk (weights on Settings B59:B60, default 50/50). Read with both parts beside it.</t>
        </r>
      </text>
    </comment>
    <comment ref="N1" authorId="0">
      <text>
        <r>
          <rPr>
            <sz val="10"/>
            <rFont val="Arial"/>
            <family val="2"/>
          </rPr>
          <t xml:space="preserve">Helper: row of this species within Scores!A2:A300. Do not edit.</t>
        </r>
      </text>
    </comment>
    <comment ref="O1" authorId="0">
      <text>
        <r>
          <rPr>
            <sz val="10"/>
            <rFont val="Arial"/>
            <family val="2"/>
          </rPr>
          <t xml:space="preserve">Helper: row of this species within Species!A2:A300. Do not edit.</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Calculated: the LD50 Sources row marked Status = Used. Edit values there, not here.</t>
        </r>
      </text>
    </comment>
    <comment ref="J1" authorId="0">
      <text>
        <r>
          <rPr>
            <sz val="10"/>
            <rFont val="Arial"/>
            <family val="2"/>
          </rPr>
          <t xml:space="preserve">Calculated: highest / lowest LD50 across rows with Status Used or Alternative (same-vehicle competing estimates). Blank = only one estimate. Over 1.5x is flagged on Scores.</t>
        </r>
      </text>
    </comment>
    <comment ref="K1" authorId="0">
      <text>
        <r>
          <rPr>
            <sz val="10"/>
            <rFont val="Arial"/>
            <family val="2"/>
          </rPr>
          <t xml:space="preserve">Calculated from the Used row on Yield Sources. For most rows this is the LOW end of a range, not a typical value - see the Statistic column there.</t>
        </r>
      </text>
    </comment>
    <comment ref="N1" authorId="0">
      <text>
        <r>
          <rPr>
            <sz val="10"/>
            <rFont val="Arial"/>
            <family val="2"/>
          </rPr>
          <t xml:space="preserve">Calculated: highest / lowest MAX yield across Used and Alternative rows on Yield Sources.</t>
        </r>
      </text>
    </comment>
    <comment ref="O1" authorId="0">
      <text>
        <r>
          <rPr>
            <sz val="10"/>
            <rFont val="Arial"/>
            <family val="2"/>
          </rPr>
          <t xml:space="preserve">Author estimate of habitat overlap with people (10 = farms/villages/houses, 1 = essentially never encountered).</t>
        </r>
      </text>
    </comment>
    <comment ref="P1" authorId="0">
      <text>
        <r>
          <rPr>
            <sz val="10"/>
            <rFont val="Arial"/>
            <family val="2"/>
          </rPr>
          <t xml:space="preserve">How likely an encounter turns into a bite. 5 strikes readily/repeatedly or pursues; 4 bites readily when disturbed, or holds still and strikes when stepped on; 3 defensive if cornered, usually warns first; 2 shy/docile, bites mainly if handled or stepped on; 1 rarely bites even when handled. Assigned in v3.3 from the v3.2 behaviour text (see Category Mapping).</t>
        </r>
      </text>
    </comment>
    <comment ref="Q1" authorId="0">
      <text>
        <r>
          <rPr>
            <sz val="10"/>
            <rFont val="Arial"/>
            <family val="2"/>
          </rPr>
          <t xml:space="preserve">Pick from the list (Settings, Onset levels).</t>
        </r>
      </text>
    </comment>
    <comment ref="R1" authorId="0">
      <text>
        <r>
          <rPr>
            <sz val="10"/>
            <rFont val="Arial"/>
            <family val="2"/>
          </rPr>
          <t xml:space="preserve">Pick from the list (Settings, Antivenom access levels). NOTE: measures whether a product exists regionally, not whether a victim can reach it in time.</t>
        </r>
      </text>
    </comment>
    <comment ref="S1" authorId="0">
      <text>
        <r>
          <rPr>
            <sz val="10"/>
            <rFont val="Arial"/>
            <family val="2"/>
          </rPr>
          <t xml:space="preserve">Calculated from Clinical Sources (Used rows). Not an input to either score - an outcome to check the scores against.</t>
        </r>
      </text>
    </comment>
    <comment ref="T1" authorId="0">
      <text>
        <r>
          <rPr>
            <sz val="10"/>
            <rFont val="Arial"/>
            <family val="2"/>
          </rPr>
          <t xml:space="preserve">Calculated from Clinical Sources (Used rows). Not an input to either score.</t>
        </r>
      </text>
    </comment>
    <comment ref="V1" authorId="0">
      <text>
        <r>
          <rPr>
            <sz val="10"/>
            <rFont val="Arial"/>
            <family val="2"/>
          </rPr>
          <t xml:space="preserve">Y = effect recorded for this species. Blank = not recorded, which is NOT the same as 'no'. Hemotoxic (any) should be Y whenever Procoagulant, Anticoagulant or Hemorrhagic is Y. Column F is built from these.</t>
        </r>
      </text>
    </comment>
    <comment ref="AE1" authorId="0">
      <text>
        <r>
          <rPr>
            <sz val="10"/>
            <rFont val="Arial"/>
            <family val="2"/>
          </rPr>
          <t xml:space="preserve">One-line reason for the Encounter rating, shown on species pages. Drafted by Claude 2026-09-29 from the region, habitat and behaviour already in this workbook, for the user to review. Delete 'DRAFT' from the header once reviewed.</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stated = the source states the route; assumed = route not restated by the source (usually SC by convention).</t>
        </r>
      </text>
    </comment>
    <comment ref="H1" authorId="0">
      <text>
        <r>
          <rPr>
            <sz val="10"/>
            <rFont val="Arial"/>
            <family val="2"/>
          </rPr>
          <t xml:space="preserve">See Method sheet, Source tiers.</t>
        </r>
      </text>
    </comment>
    <comment ref="I1" authorId="0">
      <text>
        <r>
          <rPr>
            <sz val="10"/>
            <rFont val="Arial"/>
            <family val="2"/>
          </rPr>
          <t xml:space="preserve">Used = the value the model uses (exactly one per species). Alternative = a competing estimate (counts toward LD50 spread). Vehicle variant = same study, different diluent (reference only). Other route = IV/IP etc. when the used value is SC, or vice versa (reference only). Rejected = shown to be wrong (kept for the record).</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Most v3.2 rows say "unstated - assumed range across specimens": the low figure is then the bottom of a range, not a typical bite.</t>
        </r>
      </text>
    </comment>
    <comment ref="K1" authorId="0">
      <text>
        <r>
          <rPr>
            <sz val="10"/>
            <rFont val="Arial"/>
            <family val="2"/>
          </rPr>
          <t xml:space="preserve">Used = the figures the model uses (at most one per species). Alternative = competing estimate (counts toward yield spread). Other basis = e.g. WET mass when the used figure is dry (reference only). Rejected = shown to be wrong.</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Annual deaths, or Case-fatality rate (% of envenomed patients who die). Case-fatality rate from UNTREATED case series is the most useful human number this workbook can hold.</t>
        </r>
      </text>
    </comment>
    <comment ref="D1" authorId="0">
      <text>
        <r>
          <rPr>
            <sz val="10"/>
            <rFont val="Arial"/>
            <family val="2"/>
          </rPr>
          <t xml:space="preserve">Leave blank for an upper bound only (e.g. "&lt;1"). Same as High for a point figure.</t>
        </r>
      </text>
    </comment>
    <comment ref="K1" authorId="0">
      <text>
        <r>
          <rPr>
            <sz val="10"/>
            <rFont val="Arial"/>
            <family val="2"/>
          </rPr>
          <t xml:space="preserve">Used = shown on Species (one per species per measure). Alternative / Rejected = kept for the record.</t>
        </r>
      </text>
    </comment>
  </commentList>
</comments>
</file>

<file path=xl/sharedStrings.xml><?xml version="1.0" encoding="utf-8"?>
<sst xmlns="http://schemas.openxmlformats.org/spreadsheetml/2006/main" count="4791" uniqueCount="1572">
  <si>
    <t xml:space="preserve">Scientific name</t>
  </si>
  <si>
    <t xml:space="preserve">Common name</t>
  </si>
  <si>
    <t xml:space="preserve">VENOM HAZARD (0-100)</t>
  </si>
  <si>
    <t xml:space="preserve">Hazard rank</t>
  </si>
  <si>
    <t xml:space="preserve">HUMAN RISK (0-100)</t>
  </si>
  <si>
    <t xml:space="preserve">Risk rank</t>
  </si>
  <si>
    <t xml:space="preserve">Hazard data grade</t>
  </si>
  <si>
    <t xml:space="preserve">Flags</t>
  </si>
  <si>
    <t xml:space="preserve">Annual deaths (documented)</t>
  </si>
  <si>
    <t xml:space="preserve">Case-fatality rate</t>
  </si>
  <si>
    <t xml:space="preserve">Potency</t>
  </si>
  <si>
    <t xml:space="preserve">Quantity</t>
  </si>
  <si>
    <t xml:space="preserve">Encounter</t>
  </si>
  <si>
    <t xml:space="preserve">Bite propensity</t>
  </si>
  <si>
    <t xml:space="preserve">Onset</t>
  </si>
  <si>
    <t xml:space="preserve">Antivenom access</t>
  </si>
  <si>
    <t xml:space="preserve">Risk dimensions used</t>
  </si>
  <si>
    <t xml:space="preserve">Species row</t>
  </si>
  <si>
    <t xml:space="preserve">Daboia russelii</t>
  </si>
  <si>
    <t xml:space="preserve">Naja melanoleuca</t>
  </si>
  <si>
    <t xml:space="preserve">Oxyuranus microlepidotus</t>
  </si>
  <si>
    <t xml:space="preserve">Oxyuranus scutellatus</t>
  </si>
  <si>
    <t xml:space="preserve">Bitis gabonica</t>
  </si>
  <si>
    <t xml:space="preserve">Hydrophis schistosus</t>
  </si>
  <si>
    <t xml:space="preserve">Dendroaspis polylepis</t>
  </si>
  <si>
    <t xml:space="preserve">Bitis arietans</t>
  </si>
  <si>
    <t xml:space="preserve">Naja kaouthia</t>
  </si>
  <si>
    <t xml:space="preserve">Notechis scutatus</t>
  </si>
  <si>
    <t xml:space="preserve">Pseudonaja textilis</t>
  </si>
  <si>
    <t xml:space="preserve">Naja haje</t>
  </si>
  <si>
    <t xml:space="preserve">Naja oxiana</t>
  </si>
  <si>
    <t xml:space="preserve">Naja nigricollis</t>
  </si>
  <si>
    <t xml:space="preserve">Crotalus scutulatus</t>
  </si>
  <si>
    <t xml:space="preserve">Naja philippinensis</t>
  </si>
  <si>
    <t xml:space="preserve">Crotalus durissus</t>
  </si>
  <si>
    <t xml:space="preserve">Bothrops jararacussu</t>
  </si>
  <si>
    <t xml:space="preserve">Cerastes cerastes</t>
  </si>
  <si>
    <t xml:space="preserve">Hemachatus haemachatus</t>
  </si>
  <si>
    <t xml:space="preserve">Naja nivea</t>
  </si>
  <si>
    <t xml:space="preserve">Echis carinatus</t>
  </si>
  <si>
    <t xml:space="preserve">Bothrops atrox</t>
  </si>
  <si>
    <t xml:space="preserve">Acanthophis antarcticus</t>
  </si>
  <si>
    <t xml:space="preserve">Naja naja</t>
  </si>
  <si>
    <t xml:space="preserve">Crotalus adamanteus</t>
  </si>
  <si>
    <t xml:space="preserve">Ophiophagus hannah</t>
  </si>
  <si>
    <t xml:space="preserve">Dendroaspis angusticeps</t>
  </si>
  <si>
    <t xml:space="preserve">Naja atra</t>
  </si>
  <si>
    <t xml:space="preserve">Bungarus caeruleus</t>
  </si>
  <si>
    <t xml:space="preserve">Crotalus tigris</t>
  </si>
  <si>
    <t xml:space="preserve">Bitis nasicornis</t>
  </si>
  <si>
    <t xml:space="preserve">Vipera berus</t>
  </si>
  <si>
    <t xml:space="preserve">Bothrops asper</t>
  </si>
  <si>
    <t xml:space="preserve">Macrovipera lebetina</t>
  </si>
  <si>
    <t xml:space="preserve">Crotalus oreganus</t>
  </si>
  <si>
    <t xml:space="preserve">Dispholidus typus</t>
  </si>
  <si>
    <t xml:space="preserve">Aipysurus laevis</t>
  </si>
  <si>
    <t xml:space="preserve">Crotalus atrox</t>
  </si>
  <si>
    <t xml:space="preserve">Pseudechis australis</t>
  </si>
  <si>
    <t xml:space="preserve">Dendroaspis viridis</t>
  </si>
  <si>
    <t xml:space="preserve">Montivipera xanthina</t>
  </si>
  <si>
    <t xml:space="preserve">Tropidolaemus wagleri</t>
  </si>
  <si>
    <t xml:space="preserve">Hydrophis elegans</t>
  </si>
  <si>
    <t xml:space="preserve">Agkistrodon bilineatus</t>
  </si>
  <si>
    <t xml:space="preserve">Hydrophis platurus</t>
  </si>
  <si>
    <t xml:space="preserve">Crotalus horridus</t>
  </si>
  <si>
    <t xml:space="preserve">Laticauda semifasciata</t>
  </si>
  <si>
    <t xml:space="preserve">Bungarus candidus</t>
  </si>
  <si>
    <t xml:space="preserve">Bungarus fasciatus</t>
  </si>
  <si>
    <t xml:space="preserve">Crotalus ruber</t>
  </si>
  <si>
    <t xml:space="preserve">Lachesis muta</t>
  </si>
  <si>
    <t xml:space="preserve">Agkistrodon piscivorus</t>
  </si>
  <si>
    <t xml:space="preserve">Bothrops jararaca</t>
  </si>
  <si>
    <t xml:space="preserve">Micrurus frontalis</t>
  </si>
  <si>
    <t xml:space="preserve">Trimeresurus albolabris</t>
  </si>
  <si>
    <t xml:space="preserve">Bothrops picadoi</t>
  </si>
  <si>
    <t xml:space="preserve">Calloselasma rhodostoma</t>
  </si>
  <si>
    <t xml:space="preserve">Aipysurus duboisii</t>
  </si>
  <si>
    <t xml:space="preserve">Bothrops alternatus</t>
  </si>
  <si>
    <t xml:space="preserve">Micrurus fulvius</t>
  </si>
  <si>
    <t xml:space="preserve">Hydrophis cyanocinctus</t>
  </si>
  <si>
    <t xml:space="preserve">Hydrophis hardwickii</t>
  </si>
  <si>
    <t xml:space="preserve">Micrurus nigrocinctus</t>
  </si>
  <si>
    <t xml:space="preserve">Metlapilcoatlus nummifer</t>
  </si>
  <si>
    <t xml:space="preserve">Pseudechis porphyriacus</t>
  </si>
  <si>
    <t xml:space="preserve">Crotalus cerastes</t>
  </si>
  <si>
    <t xml:space="preserve">Causus rhombeatus</t>
  </si>
  <si>
    <t xml:space="preserve">Bothriechis schlegelii</t>
  </si>
  <si>
    <t xml:space="preserve">Sistrurus miliarius</t>
  </si>
  <si>
    <t xml:space="preserve">Crotalus lepidus</t>
  </si>
  <si>
    <t xml:space="preserve">Gloydius blomhoffii</t>
  </si>
  <si>
    <t xml:space="preserve">Agkistrodon contortrix</t>
  </si>
  <si>
    <t xml:space="preserve">Austrelaps superbus</t>
  </si>
  <si>
    <t xml:space="preserve">Bungarus multicinctus</t>
  </si>
  <si>
    <t xml:space="preserve">Crotalus mitchellii</t>
  </si>
  <si>
    <t xml:space="preserve">Cryptophis nigrescens</t>
  </si>
  <si>
    <t xml:space="preserve">Deinagkistrodon acutus</t>
  </si>
  <si>
    <t xml:space="preserve">Demansia olivacea</t>
  </si>
  <si>
    <t xml:space="preserve">Hoplocephalus stephensii</t>
  </si>
  <si>
    <t xml:space="preserve">Hydrophis belcheri</t>
  </si>
  <si>
    <t xml:space="preserve">Hydrophis peronii</t>
  </si>
  <si>
    <t xml:space="preserve">Laticauda colubrina</t>
  </si>
  <si>
    <t xml:space="preserve">Naja annulata</t>
  </si>
  <si>
    <t xml:space="preserve">Oxyuranus temporalis</t>
  </si>
  <si>
    <t xml:space="preserve">Pseudechis colletti</t>
  </si>
  <si>
    <t xml:space="preserve">Pseudechis guttatus</t>
  </si>
  <si>
    <t xml:space="preserve">Pseudechis papuanus</t>
  </si>
  <si>
    <t xml:space="preserve">Pseudonaja affinis</t>
  </si>
  <si>
    <t xml:space="preserve">Pseudonaja guttata</t>
  </si>
  <si>
    <t xml:space="preserve">Pseudonaja mengdeni</t>
  </si>
  <si>
    <t xml:space="preserve">Thelotornis capensis</t>
  </si>
  <si>
    <t xml:space="preserve">Tropidechis carinatus</t>
  </si>
  <si>
    <t xml:space="preserve">Vipera ammodytes</t>
  </si>
  <si>
    <t xml:space="preserve">Other common names</t>
  </si>
  <si>
    <t xml:space="preserve">LD50 used (mg/kg)</t>
  </si>
  <si>
    <t xml:space="preserve">Yield max (mg)</t>
  </si>
  <si>
    <t xml:space="preserve">Encounter (10-90)</t>
  </si>
  <si>
    <t xml:space="preserve">Bite propensity (10-90)</t>
  </si>
  <si>
    <t xml:space="preserve">Onset (10-90)</t>
  </si>
  <si>
    <t xml:space="preserve">Antivenom access (10-90)</t>
  </si>
  <si>
    <t xml:space="preserve">COMBINED (0-100)</t>
  </si>
  <si>
    <t xml:space="preserve">Combined rank</t>
  </si>
  <si>
    <t xml:space="preserve">Scores row</t>
  </si>
  <si>
    <t xml:space="preserve">Other names</t>
  </si>
  <si>
    <t xml:space="preserve">Family</t>
  </si>
  <si>
    <t xml:space="preserve">Region</t>
  </si>
  <si>
    <t xml:space="preserve">Venom effects (from V:AC)</t>
  </si>
  <si>
    <t xml:space="preserve">LD50 route</t>
  </si>
  <si>
    <t xml:space="preserve">LD50 tier</t>
  </si>
  <si>
    <t xml:space="preserve">LD50 spread (x)</t>
  </si>
  <si>
    <t xml:space="preserve">Yield low / typical (mg)</t>
  </si>
  <si>
    <t xml:space="preserve">Yield tier</t>
  </si>
  <si>
    <t xml:space="preserve">Yield spread (x)</t>
  </si>
  <si>
    <t xml:space="preserve">Encounter (1-10)</t>
  </si>
  <si>
    <t xml:space="preserve">Bite propensity (1-5)</t>
  </si>
  <si>
    <t xml:space="preserve">Onset (untreated)</t>
  </si>
  <si>
    <t xml:space="preserve">Notes</t>
  </si>
  <si>
    <t xml:space="preserve">Neurotoxic</t>
  </si>
  <si>
    <t xml:space="preserve">Hemotoxic (any)</t>
  </si>
  <si>
    <t xml:space="preserve">Procoagulant</t>
  </si>
  <si>
    <t xml:space="preserve">Anticoagulant</t>
  </si>
  <si>
    <t xml:space="preserve">Hemorrhagic</t>
  </si>
  <si>
    <t xml:space="preserve">Cytotoxic</t>
  </si>
  <si>
    <t xml:space="preserve">Myotoxic</t>
  </si>
  <si>
    <t xml:space="preserve">Cardiotoxic</t>
  </si>
  <si>
    <t xml:space="preserve">Venom effects source</t>
  </si>
  <si>
    <t xml:space="preserve">Encounter reason</t>
  </si>
  <si>
    <t xml:space="preserve">Russell's viper</t>
  </si>
  <si>
    <t xml:space="preserve">Chain viper; Daboia</t>
  </si>
  <si>
    <t xml:space="preserve">Viperidae</t>
  </si>
  <si>
    <t xml:space="preserve">South &amp; Southeast Asia</t>
  </si>
  <si>
    <t xml:space="preserve">Moderate-slow (hours to days)</t>
  </si>
  <si>
    <t xml:space="preserve">Widely available</t>
  </si>
  <si>
    <t xml:space="preserve">Clinical: Coagulopathy, internal bleeding, kidney failure develop over hours to days; can still be rapidly fatal with a large envenomation. Antivenom: India.</t>
  </si>
  <si>
    <t xml:space="preserve">Y</t>
  </si>
  <si>
    <t xml:space="preserve">Carried from v3.2 text; source needed</t>
  </si>
  <si>
    <t xml:space="preserve">Very common in farmland and around villages across South Asia, where most bites happen.</t>
  </si>
  <si>
    <t xml:space="preserve">Gaboon viper</t>
  </si>
  <si>
    <t xml:space="preserve">Gaboon adder; Butterfly adder</t>
  </si>
  <si>
    <t xml:space="preserve">West &amp; Central Africa</t>
  </si>
  <si>
    <t xml:space="preserve">Slow (24 h or more)</t>
  </si>
  <si>
    <t xml:space="preserve">Regional</t>
  </si>
  <si>
    <t xml:space="preserve">Clinical: Severe local tissue damage and shock develop over 1-2 days; massive envenomation can cause faster cardiovascular collapse. Antivenom: SAIMR polyvalent.</t>
  </si>
  <si>
    <t xml:space="preserve">Forest-floor snake of West and Central Africa; well camouflaged and rarely met.</t>
  </si>
  <si>
    <t xml:space="preserve">Coastal taipan</t>
  </si>
  <si>
    <t xml:space="preserve">Common taipan</t>
  </si>
  <si>
    <t xml:space="preserve">Elapidae</t>
  </si>
  <si>
    <t xml:space="preserve">NE Australia, PNG</t>
  </si>
  <si>
    <t xml:space="preserve">Fast (hours)</t>
  </si>
  <si>
    <t xml:space="preserve">Clinical: Paralysis and coagulopathy can progress within a few hours untreated. Antivenom: Australia.</t>
  </si>
  <si>
    <t xml:space="preserve">Grassland, cane fields and forest edges in NE Australia and PNG; met occasionally.</t>
  </si>
  <si>
    <t xml:space="preserve">Hook-nosed sea snake</t>
  </si>
  <si>
    <t xml:space="preserve">Beaked sea snake; Common sea snake</t>
  </si>
  <si>
    <t xml:space="preserve">Indo-Pacific coasts</t>
  </si>
  <si>
    <t xml:space="preserve">Moderate (6-24 h)</t>
  </si>
  <si>
    <t xml:space="preserve">Limited</t>
  </si>
  <si>
    <t xml:space="preserve">Taxonomy: Formerly Enhydrina schistosa; moved to Hydrophis. Clinical: Muscle breakdown (myotoxicity) and paralysis typically progress over several hours. LD50: Broad et al. (1979) SC 0.164 mg/kg used from 2026-09-29; the untraced 0.02 is kept as an Alternative.</t>
  </si>
  <si>
    <t xml:space="preserve">Coastal sea snake; met mostly by fishers handling nets.</t>
  </si>
  <si>
    <t xml:space="preserve">Inland taipan</t>
  </si>
  <si>
    <t xml:space="preserve">Western taipan; Small-scaled snake; Fierce snake</t>
  </si>
  <si>
    <t xml:space="preserve">Central Australia</t>
  </si>
  <si>
    <t xml:space="preserve">Very fast (under 1 h to a few h)</t>
  </si>
  <si>
    <t xml:space="preserve">Clinical: Rapid paralysis and coagulopathy; historically among the fastest-acting Australian elapid venoms untreated. Antivenom: Australia.</t>
  </si>
  <si>
    <t xml:space="preserve">Remote central Australian desert where almost nobody lives.</t>
  </si>
  <si>
    <t xml:space="preserve">Puff adder</t>
  </si>
  <si>
    <t xml:space="preserve">Sub-Saharan Africa</t>
  </si>
  <si>
    <t xml:space="preserve">Clinical: Death, when it occurs, is usually from progressive tissue destruction, swelling, and shock over 1-2+ days rather than rapid collapse. Antivenom: SAIMR polyvalent. Bite propensity: Scored 4: does not flee, frequently stepped on.</t>
  </si>
  <si>
    <t xml:space="preserve">Widespread and common across Africa, including near homes and farms; often stepped on.</t>
  </si>
  <si>
    <t xml:space="preserve">Black mamba</t>
  </si>
  <si>
    <t xml:space="preserve">Clinical: Widely cited as one of the fastest-acting venoms; untreated bites have historically caused death in under an hour to a few hours via respiratory paralysis. Antivenom: SAIMR polyvalent.</t>
  </si>
  <si>
    <t xml:space="preserve">Widespread in African savanna, sometimes near settlements; met occasionally.</t>
  </si>
  <si>
    <t xml:space="preserve">Egyptian cobra</t>
  </si>
  <si>
    <t xml:space="preserve">Asp</t>
  </si>
  <si>
    <t xml:space="preserve">North Africa, Middle East</t>
  </si>
  <si>
    <t xml:space="preserve">Clinical: Respiratory paralysis can progress within a few hours untreated.</t>
  </si>
  <si>
    <t xml:space="preserve">Common across North Africa, including farmland and villages.</t>
  </si>
  <si>
    <t xml:space="preserve">Tiger snake</t>
  </si>
  <si>
    <t xml:space="preserve">Mainland tiger snake</t>
  </si>
  <si>
    <t xml:space="preserve">Southern Australia</t>
  </si>
  <si>
    <t xml:space="preserve">Taxonomy: Single row masks subspecific variation. Broad et al. (1979) SC saline: N. s. scutatus 0.118; N. s. occidentalis 0.194; N. ater niger 0.131; N. ater serventyi 0.338 (a 2.9x spread). Consider separate rows. Clinical: Paralysis and coagulopathy can develop within hours untreated. Antivenom: Australia.</t>
  </si>
  <si>
    <t xml:space="preserve">Common in wetlands and coastal areas of southern Australia, including near towns.</t>
  </si>
  <si>
    <t xml:space="preserve">Eastern brown snake</t>
  </si>
  <si>
    <t xml:space="preserve">Common brown snake</t>
  </si>
  <si>
    <t xml:space="preserve">Eastern Australia</t>
  </si>
  <si>
    <t xml:space="preserve">Clinical: Can cause sudden collapse from cardiovascular effects, sometimes within minutes to an hour, though low venom yield means many bites are milder. Antivenom: Australia.</t>
  </si>
  <si>
    <t xml:space="preserve">Very common in farmland and suburbs of eastern Australia.</t>
  </si>
  <si>
    <t xml:space="preserve">Caspian cobra</t>
  </si>
  <si>
    <t xml:space="preserve">Central Asian cobra; Oxus cobra</t>
  </si>
  <si>
    <t xml:space="preserve">Central Asia, Iran</t>
  </si>
  <si>
    <t xml:space="preserve">Clinical: Neurotoxic paralysis typically progresses over a few hours untreated.</t>
  </si>
  <si>
    <t xml:space="preserve">Farmland and foothills of Central Asia and Iran.</t>
  </si>
  <si>
    <t xml:space="preserve">Mojave rattlesnake</t>
  </si>
  <si>
    <t xml:space="preserve">Mohave green</t>
  </si>
  <si>
    <t xml:space="preserve">SW USA, Mexico</t>
  </si>
  <si>
    <t xml:space="preserve">Taxonomy: Type A venom = neurotoxic Mojave toxin population. Clinical: Type A neurotoxin causes progressive weakness/paralysis over hours; local tissue damage is often mild relative to other rattlesnakes. Antivenom: USA.</t>
  </si>
  <si>
    <t xml:space="preserve">Desert and grassland of SW USA and Mexico; met by hikers and ranchers.</t>
  </si>
  <si>
    <t xml:space="preserve">Philippine cobra</t>
  </si>
  <si>
    <t xml:space="preserve">Northern Philippine cobra</t>
  </si>
  <si>
    <t xml:space="preserve">Philippines</t>
  </si>
  <si>
    <t xml:space="preserve">Clinical: Respiratory paralysis can progress rapidly; considered one of the faster-acting cobra venoms.</t>
  </si>
  <si>
    <t xml:space="preserve">Common in rice fields and farmland in the Philippines.</t>
  </si>
  <si>
    <t xml:space="preserve">Eastern diamondback rattlesnake</t>
  </si>
  <si>
    <t xml:space="preserve">SE USA</t>
  </si>
  <si>
    <t xml:space="preserve">Clinical: Severe local tissue destruction, swelling and shock progress over 1-2 days without treatment. Antivenom: USA.</t>
  </si>
  <si>
    <t xml:space="preserve">Pine woods and scrub of SE USA; met occasionally.</t>
  </si>
  <si>
    <t xml:space="preserve">Jararacussu</t>
  </si>
  <si>
    <t xml:space="preserve">Brazil (Atlantic Forest)</t>
  </si>
  <si>
    <t xml:space="preserve">Clinical: Severe tissue damage and coagulopathy develop over hours to a couple of days. Antivenom: Brazil.</t>
  </si>
  <si>
    <t xml:space="preserve">Atlantic Forest of Brazil, including farmland edges.</t>
  </si>
  <si>
    <t xml:space="preserve">Neotropical rattlesnake</t>
  </si>
  <si>
    <t xml:space="preserve">South American rattlesnake; Cascavel</t>
  </si>
  <si>
    <t xml:space="preserve">South America</t>
  </si>
  <si>
    <t xml:space="preserve">Clinical: Neurotoxic paralysis and muscle breakdown can progress within hours untreated.</t>
  </si>
  <si>
    <t xml:space="preserve">Widespread in open country across South America, including farmland.</t>
  </si>
  <si>
    <t xml:space="preserve">King cobra</t>
  </si>
  <si>
    <t xml:space="preserve">Taxonomy: Now a species complex (4 spp., 2024); held LD50 may describe a different population. Clinical: Enormous venom dose can cause rapid respiratory paralysis despite only moderate per-mg toxicity.</t>
  </si>
  <si>
    <t xml:space="preserve">Forests of South and Southeast Asia; tends to avoid people.</t>
  </si>
  <si>
    <t xml:space="preserve">Indian cobra</t>
  </si>
  <si>
    <t xml:space="preserve">Spectacled cobra; Asian cobra</t>
  </si>
  <si>
    <t xml:space="preserve">Indian subcontinent</t>
  </si>
  <si>
    <t xml:space="preserve">Clinical: Respiratory paralysis typically develops within a few hours untreated. Antivenom: India.</t>
  </si>
  <si>
    <t xml:space="preserve">Very common around villages and farmland across the Indian subcontinent.</t>
  </si>
  <si>
    <t xml:space="preserve">Saw-scaled viper</t>
  </si>
  <si>
    <t xml:space="preserve">Indian saw-scaled viper</t>
  </si>
  <si>
    <t xml:space="preserve">Africa, Middle East, South Asia</t>
  </si>
  <si>
    <t xml:space="preserve">Taxonomy: Echis is a species complex; this row is E. carinatus sensu stricto. COVERAGE GAP: E. ocellatus and E. romani, which cause most West African saw-scaled viper deaths, have no rows yet. Clinical: Death usually results from internal bleeding and kidney failure over 1-2+ days, not rapid collapse - the fast STRIKE is not the same as a fast death. Antivenom: India.</t>
  </si>
  <si>
    <t xml:space="preserve">Extremely common in dry farmland across its range; bites often happen in fields.</t>
  </si>
  <si>
    <t xml:space="preserve">Desert horned viper</t>
  </si>
  <si>
    <t xml:space="preserve">Saharan horned viper</t>
  </si>
  <si>
    <t xml:space="preserve">Clinical: Local tissue damage and coagulopathy progress over a day or more.</t>
  </si>
  <si>
    <t xml:space="preserve">Sandy deserts of North Africa and the Middle East, where few people live.</t>
  </si>
  <si>
    <t xml:space="preserve">Common death adder</t>
  </si>
  <si>
    <t xml:space="preserve">Australia, New Guinea</t>
  </si>
  <si>
    <t xml:space="preserve">Clinical: Rapid-onset paralysis, historically one of the faster-acting Australian elapid venoms. Antivenom: Australia. Bite propensity: Scored 4: ambush sitter, strikes reflexively when stepped on.</t>
  </si>
  <si>
    <t xml:space="preserve">Lies hidden in leaf litter; met when people step close to it.</t>
  </si>
  <si>
    <t xml:space="preserve">Rhinoceros viper</t>
  </si>
  <si>
    <t xml:space="preserve">River jack; Horned puff adder</t>
  </si>
  <si>
    <t xml:space="preserve">Clinical: Severe local damage and cardiovascular effects progress over a day or more. Antivenom: SAIMR polyvalent.</t>
  </si>
  <si>
    <t xml:space="preserve">Rainforest floor of West and Central Africa; rarely met.</t>
  </si>
  <si>
    <t xml:space="preserve">Terciopelo</t>
  </si>
  <si>
    <t xml:space="preserve">Fer-de-lance; Barba amarilla</t>
  </si>
  <si>
    <t xml:space="preserve">Central &amp; South America</t>
  </si>
  <si>
    <t xml:space="preserve">Taxonomy: Distinct from Bothrops atrox (Common lancehead). Clinical: Severe local tissue destruction and coagulopathy develop over hours to a couple of days.</t>
  </si>
  <si>
    <t xml:space="preserve">Common on plantations and farmland in Central and northern South America.</t>
  </si>
  <si>
    <t xml:space="preserve">Western diamondback rattlesnake</t>
  </si>
  <si>
    <t xml:space="preserve">Clinical: Severe local swelling and tissue damage progress over 1-2 days untreated. Antivenom: USA.</t>
  </si>
  <si>
    <t xml:space="preserve">The most common rattlesnake of SW USA and Mexico, including near homes.</t>
  </si>
  <si>
    <t xml:space="preserve">Western rattlesnake</t>
  </si>
  <si>
    <t xml:space="preserve">Northern Pacific rattlesnake</t>
  </si>
  <si>
    <t xml:space="preserve">Western North America</t>
  </si>
  <si>
    <t xml:space="preserve">Taxonomy: Split from C. viridis; check which taxon LD50 refers to. Clinical: Local tissue damage and coagulopathy develop over a day or more. Antivenom: USA.</t>
  </si>
  <si>
    <t xml:space="preserve">Widespread in western North America; met by hikers.</t>
  </si>
  <si>
    <t xml:space="preserve">Blunt-nosed viper</t>
  </si>
  <si>
    <t xml:space="preserve">Levantine viper</t>
  </si>
  <si>
    <t xml:space="preserve">Middle East, Central Asia</t>
  </si>
  <si>
    <t xml:space="preserve">Clinical: Coagulopathy and tissue damage progress over hours to days.</t>
  </si>
  <si>
    <t xml:space="preserve">Farmland and rocky hills of the Middle East and Central Asia.</t>
  </si>
  <si>
    <t xml:space="preserve">Common Indian krait</t>
  </si>
  <si>
    <t xml:space="preserve">Blue krait</t>
  </si>
  <si>
    <t xml:space="preserve">Clinical: Paralysis can progress within hours, but because the bite is painless and often happens during sleep, treatment is frequently delayed - this is a major reason for its high fatality rate despite only moderate venom stats. Onset: Fast once symptomatic, but often diagnosed late. Antivenom: India. Bite propensity: Scored 3: docile by day, but bites sleeping people at night with no warning.</t>
  </si>
  <si>
    <t xml:space="preserve">Very common near villages; enters homes at night.</t>
  </si>
  <si>
    <t xml:space="preserve">Tiger rattlesnake</t>
  </si>
  <si>
    <t xml:space="preserve">Clinical: Neurotoxic effects can progress within hours, though tiny yield limits real-world severity. Antivenom: USA.</t>
  </si>
  <si>
    <t xml:space="preserve">Rocky desert canyons; rarely met.</t>
  </si>
  <si>
    <t xml:space="preserve">Common European viper</t>
  </si>
  <si>
    <t xml:space="preserve">European adder; Common adder</t>
  </si>
  <si>
    <t xml:space="preserve">Europe, parts of Asia</t>
  </si>
  <si>
    <t xml:space="preserve">Clinical: Local swelling and mild systemic effects; fatalities are rare and, when they occur, develop over a day or more. Antivenom: Europe.</t>
  </si>
  <si>
    <t xml:space="preserve">Widespread on European heaths and woodland edges; met by walkers.</t>
  </si>
  <si>
    <t xml:space="preserve">Timber rattlesnake</t>
  </si>
  <si>
    <t xml:space="preserve">Canebrake rattlesnake</t>
  </si>
  <si>
    <t xml:space="preserve">Eastern USA</t>
  </si>
  <si>
    <t xml:space="preserve">Clinical: Local tissue damage and coagulopathy progress over 1-2 days; some populations carry a neurotoxic component that can speed systemic effects. Venom: Neurotoxic component varies by population. Antivenom: USA.</t>
  </si>
  <si>
    <t xml:space="preserve">Forests of the eastern USA; secretive and less often met.</t>
  </si>
  <si>
    <t xml:space="preserve">Wagler's pit viper</t>
  </si>
  <si>
    <t xml:space="preserve">Temple pit viper; Temple viper</t>
  </si>
  <si>
    <t xml:space="preserve">Southeast Asia</t>
  </si>
  <si>
    <t xml:space="preserve">Clinical: Local swelling and mild coagulopathy typically develop gradually.</t>
  </si>
  <si>
    <t xml:space="preserve">Rainforest trees of Southeast Asia; met mainly by forest workers.</t>
  </si>
  <si>
    <t xml:space="preserve">Cantil</t>
  </si>
  <si>
    <t xml:space="preserve">Mexican moccasin</t>
  </si>
  <si>
    <t xml:space="preserve">Mexico, Central America</t>
  </si>
  <si>
    <t xml:space="preserve">Clinical: Local tissue damage progresses over hours to days.</t>
  </si>
  <si>
    <t xml:space="preserve">Dry forest and farmland of Mexico and Central America.</t>
  </si>
  <si>
    <t xml:space="preserve">Boomslang</t>
  </si>
  <si>
    <t xml:space="preserve">Colubridae</t>
  </si>
  <si>
    <t xml:space="preserve">Clinical: Symptoms are often delayed and deceptively mild at first, with severe internal bleeding developing 1-2+ days later - this delay historically caused fatal misjudgment of bite severity (Karl Schmidt, 1957). Onset: Famously delayed onset. Venom: Procoagulant - prothrombin activators use up clotting factors, so the blood stops clotting (corrected 2026-09-29 from 'anticoagulant'). Antivenom: SAIMR/SAVP boomslang monovalent antivenom; the SAIMR polyvalent does not cover boomslang (corrected 2026-09-29).</t>
  </si>
  <si>
    <t xml:space="preserve">Lives in trees and bushes; rarely comes into contact with people.</t>
  </si>
  <si>
    <t xml:space="preserve">Common blacksnake</t>
  </si>
  <si>
    <t xml:space="preserve">Red-bellied black snake</t>
  </si>
  <si>
    <t xml:space="preserve">Taxonomy: 'Red-bellied black snake' is the same species (merged). Clinical: Coagulopathy and mild neurotoxic effects develop over several hours. Antivenom: Australia.</t>
  </si>
  <si>
    <t xml:space="preserve">Common near creeks and wetlands in eastern Australia, including farmland.</t>
  </si>
  <si>
    <t xml:space="preserve">Banded krait</t>
  </si>
  <si>
    <t xml:space="preserve">Clinical: Similar delayed-recognition risk to the common krait: painless bite can delay treatment even though paralysis progresses over hours. Onset: Fast once symptomatic.</t>
  </si>
  <si>
    <t xml:space="preserve">Widespread in South and Southeast Asian farmland; active at night.</t>
  </si>
  <si>
    <t xml:space="preserve">Ottoman viper</t>
  </si>
  <si>
    <t xml:space="preserve">Rock viper; Coastal viper</t>
  </si>
  <si>
    <t xml:space="preserve">E Mediterranean, Middle East</t>
  </si>
  <si>
    <t xml:space="preserve">Clinical: Local damage and mild systemic effects develop gradually.</t>
  </si>
  <si>
    <t xml:space="preserve">Rocky hillsides of Turkey and the eastern Mediterranean.</t>
  </si>
  <si>
    <t xml:space="preserve">Cottonmouth</t>
  </si>
  <si>
    <t xml:space="preserve">Water moccasin</t>
  </si>
  <si>
    <t xml:space="preserve">Clinical: Local tissue damage progresses over a day or more; fatalities are rare with treatment. Antivenom: USA.</t>
  </si>
  <si>
    <t xml:space="preserve">Common in wetlands of the SE USA.</t>
  </si>
  <si>
    <t xml:space="preserve">Jararaca</t>
  </si>
  <si>
    <t xml:space="preserve">Clinical: Coagulopathy and local damage progress over hours to a couple of days. Antivenom: Brazil.</t>
  </si>
  <si>
    <t xml:space="preserve">Common in farmland and forest edges of SE Brazil.</t>
  </si>
  <si>
    <t xml:space="preserve">Yellow-bellied sea snake</t>
  </si>
  <si>
    <t xml:space="preserve">Pelagic sea snake</t>
  </si>
  <si>
    <t xml:space="preserve">Pacific &amp; Indian Oceans</t>
  </si>
  <si>
    <t xml:space="preserve">Taxonomy: Formerly Pelamis platura. Clinical: Myotoxicity and paralysis, when they occur, progress over several hours.</t>
  </si>
  <si>
    <t xml:space="preserve">Open-ocean sea snake; rarely met except washed up on beaches.</t>
  </si>
  <si>
    <t xml:space="preserve">Picado's pit viper</t>
  </si>
  <si>
    <t xml:space="preserve">Central America</t>
  </si>
  <si>
    <t xml:space="preserve">Clinical: Local swelling and coagulopathy develop gradually.</t>
  </si>
  <si>
    <t xml:space="preserve">Mountain forests of Central America; rarely met.</t>
  </si>
  <si>
    <t xml:space="preserve">Urutu</t>
  </si>
  <si>
    <t xml:space="preserve">Crossed pit viper</t>
  </si>
  <si>
    <t xml:space="preserve">Taxonomy: Also placed in Rhinocerophis. Clinical: Local tissue damage progresses over a day or more.</t>
  </si>
  <si>
    <t xml:space="preserve">Grassland and farmland of southern South America.</t>
  </si>
  <si>
    <t xml:space="preserve">Malayan pit viper</t>
  </si>
  <si>
    <t xml:space="preserve">Clinical: Severe local swelling and coagulopathy; fatalities are uncommon but tissue damage/amputation risk is high.</t>
  </si>
  <si>
    <t xml:space="preserve">Common in plantations and farmland of Southeast Asia.</t>
  </si>
  <si>
    <t xml:space="preserve">Southern coral snake</t>
  </si>
  <si>
    <t xml:space="preserve">Clinical: Paralysis can progress over several hours once envenomation occurs.</t>
  </si>
  <si>
    <t xml:space="preserve">Lives in leaf litter and soil; seldom seen.</t>
  </si>
  <si>
    <t xml:space="preserve">Harlequin coral snake</t>
  </si>
  <si>
    <t xml:space="preserve">Eastern coral snake</t>
  </si>
  <si>
    <t xml:space="preserve">Taxonomy: Duplicate 'Eastern coral snake' row previously removed (same species). Clinical: Paralysis can develop over several hours; low yield limits real-world severity. Antivenom: USA.</t>
  </si>
  <si>
    <t xml:space="preserve">Secretive and mostly underground; seldom seen.</t>
  </si>
  <si>
    <t xml:space="preserve">Jumping pit viper</t>
  </si>
  <si>
    <t xml:space="preserve">Mexican jumping pit viper</t>
  </si>
  <si>
    <t xml:space="preserve">Taxonomy: Formerly Atropoides nummifer. Clinical: Local tissue damage develops gradually.</t>
  </si>
  <si>
    <t xml:space="preserve">Forest floor of Central America; met occasionally.</t>
  </si>
  <si>
    <t xml:space="preserve">Hardwicke's sea snake</t>
  </si>
  <si>
    <t xml:space="preserve">Spine-bellied sea snake</t>
  </si>
  <si>
    <t xml:space="preserve">Indo-Pacific</t>
  </si>
  <si>
    <t xml:space="preserve">Taxonomy: Formerly Lapemis hardwickii. Clinical: Myotoxicity/paralysis would progress over several hours if envenomation occurred.</t>
  </si>
  <si>
    <t xml:space="preserve">Coastal sea snake of the Indo-Western Pacific; met mostly by trawl fishers.</t>
  </si>
  <si>
    <t xml:space="preserve">Sidewinder</t>
  </si>
  <si>
    <t xml:space="preserve">Horned rattlesnake</t>
  </si>
  <si>
    <t xml:space="preserve">SW USA deserts</t>
  </si>
  <si>
    <t xml:space="preserve">Clinical: Local swelling develops gradually; fatalities are extremely rare. Antivenom: USA.</t>
  </si>
  <si>
    <t xml:space="preserve">Sandy desert of the SW USA, where few people are.</t>
  </si>
  <si>
    <t xml:space="preserve">Dubois' sea snake</t>
  </si>
  <si>
    <t xml:space="preserve">Reef shallows sea snake</t>
  </si>
  <si>
    <t xml:space="preserve">Australian waters</t>
  </si>
  <si>
    <t xml:space="preserve">Clinical: Would progress over hours if envenomation occurred; tiny yield makes this largely theoretical.</t>
  </si>
  <si>
    <t xml:space="preserve">Reef sea snake in Australian waters; met mostly by divers.</t>
  </si>
  <si>
    <t xml:space="preserve">Common night adder</t>
  </si>
  <si>
    <t xml:space="preserve">Rhombic night adder</t>
  </si>
  <si>
    <t xml:space="preserve">Clinical: Mild local swelling; systemic effects and fatalities are rare. Venom: Mild cytotoxic effects.</t>
  </si>
  <si>
    <t xml:space="preserve">Common near homes and damp places in Africa.</t>
  </si>
  <si>
    <t xml:space="preserve">Eyelash palm pit viper</t>
  </si>
  <si>
    <t xml:space="preserve">Eyelash viper</t>
  </si>
  <si>
    <t xml:space="preserve">Clinical: Local tissue damage develops gradually; fatalities are uncommon.</t>
  </si>
  <si>
    <t xml:space="preserve">Rainforest trees of Central and South America; met by forest and plantation workers.</t>
  </si>
  <si>
    <t xml:space="preserve">Malayan krait</t>
  </si>
  <si>
    <t xml:space="preserve">Southeast Asia (Indochina to Java/Bali)</t>
  </si>
  <si>
    <t xml:space="preserve">Clinical: Progressive neuromuscular paralysis leading to respiratory failure; unusually high fatality rate persists even after antivenom treatment, worse than most other entries in this table. Onset: Fast once symptomatic.</t>
  </si>
  <si>
    <t xml:space="preserve">Near villages and farmland in Southeast Asia; active at night.</t>
  </si>
  <si>
    <t xml:space="preserve">Forest cobra</t>
  </si>
  <si>
    <t xml:space="preserve">Black-lipped cobra</t>
  </si>
  <si>
    <t xml:space="preserve">Sub-Saharan Africa (forest regions)</t>
  </si>
  <si>
    <t xml:space="preserve">Taxonomy: Species complex split in 2018 (N. subfulva, N. savannula, N. peroescobari, N. guineensis). Confirm which taxon the yield animals were. Clinical: Neurotoxic paralysis can progress within hours untreated. Antivenom: SAIMR polyvalent.</t>
  </si>
  <si>
    <t xml:space="preserve">Forests and forest edges of Africa; met occasionally.</t>
  </si>
  <si>
    <t xml:space="preserve">Eastern green mamba</t>
  </si>
  <si>
    <t xml:space="preserve">Common green mamba</t>
  </si>
  <si>
    <t xml:space="preserve">East African coastal forests</t>
  </si>
  <si>
    <t xml:space="preserve">Clinical: Paralysis and cardiotoxic effects can progress over hours untreated. Antivenom: SAIMR polyvalent.</t>
  </si>
  <si>
    <t xml:space="preserve">Coastal forest trees of East Africa; rarely met.</t>
  </si>
  <si>
    <t xml:space="preserve">Rinkhals</t>
  </si>
  <si>
    <t xml:space="preserve">Ring-necked spitting cobra</t>
  </si>
  <si>
    <t xml:space="preserve">Southern Africa</t>
  </si>
  <si>
    <t xml:space="preserve">Clinical: Neurotoxic paralysis and local tissue damage progress over hours. Antivenom: SAIMR polyvalent.</t>
  </si>
  <si>
    <t xml:space="preserve">Grassland of southern Africa, including near farms and towns.</t>
  </si>
  <si>
    <t xml:space="preserve">Black-necked spitting cobra</t>
  </si>
  <si>
    <t xml:space="preserve">Clinical: Neurotoxic paralysis progresses over hours; severe local tissue necrosis is also common and can be more clinically significant than systemic effects. Antivenom: SAIMR polyvalent.</t>
  </si>
  <si>
    <t xml:space="preserve">Common in savanna and near settlements across Africa.</t>
  </si>
  <si>
    <t xml:space="preserve">Lowlands copperhead</t>
  </si>
  <si>
    <t xml:space="preserve">Australian copperhead</t>
  </si>
  <si>
    <t xml:space="preserve">SE Australia, Tasmania</t>
  </si>
  <si>
    <t xml:space="preserve">Clinical: Paralysis and coagulopathy can develop over hours. Antivenom: Australia.</t>
  </si>
  <si>
    <t xml:space="preserve">Swamps and grassland of cool SE Australia; met occasionally.</t>
  </si>
  <si>
    <t xml:space="preserve">Pygmy rattlesnake</t>
  </si>
  <si>
    <t xml:space="preserve">Ground rattler</t>
  </si>
  <si>
    <t xml:space="preserve">Clinical: Local tissue damage develops gradually; fatalities extremely rare. Antivenom: USA.</t>
  </si>
  <si>
    <t xml:space="preserve">Small and secretive; met occasionally in the SE USA.</t>
  </si>
  <si>
    <t xml:space="preserve">Copperhead</t>
  </si>
  <si>
    <t xml:space="preserve">Eastern copperhead</t>
  </si>
  <si>
    <t xml:space="preserve">Eastern &amp; Central USA</t>
  </si>
  <si>
    <t xml:space="preserve">Taxonomy: North American copperhead; unrelated to Austrelaps superbus (Lowlands copperhead). Clinical: Local swelling and pain; fatalities are extremely rare with treatment. Antivenom: USA. Bite propensity: Scored 4: freezes rather than flees; most-reported US bite.</t>
  </si>
  <si>
    <t xml:space="preserve">Common in woodland and suburbs of the eastern USA; stays still, so people come close.</t>
  </si>
  <si>
    <t xml:space="preserve">Red diamond rattlesnake</t>
  </si>
  <si>
    <t xml:space="preserve">SW USA, Baja California</t>
  </si>
  <si>
    <t xml:space="preserve">Clinical: Local tissue damage progresses gradually. Antivenom: USA.</t>
  </si>
  <si>
    <t xml:space="preserve">Scrub and rocky slopes of southern California and Baja; met occasionally.</t>
  </si>
  <si>
    <t xml:space="preserve">Mottled rock rattlesnake</t>
  </si>
  <si>
    <t xml:space="preserve">Rock rattlesnake</t>
  </si>
  <si>
    <t xml:space="preserve">Clinical: Local swelling; low fatality risk. Antivenom: USA.</t>
  </si>
  <si>
    <t xml:space="preserve">Rocky mountain slopes; rarely met.</t>
  </si>
  <si>
    <t xml:space="preserve">Atlantic bushmaster</t>
  </si>
  <si>
    <t xml:space="preserve">South American bushmaster; Surucucu</t>
  </si>
  <si>
    <t xml:space="preserve">South America (Amazon basin)</t>
  </si>
  <si>
    <t xml:space="preserve">Clinical: Severe local damage and systemic shock can progress over a day or more; sheer size means a very large potential envenomation. Antivenom: Regional product, limited. Bite propensity: Unscored: v3.2 text describes size/habit, not temperament. Bite propensity 3: VAPAGuide (Swiss TPH) - 'relatively unaggressive' by day, 'marked defensive behaviour and is easily provoked into striking' at night; 3 splits the difference. [Added 2026-09-29, Claude; confirmed by user 2026-09-29]</t>
  </si>
  <si>
    <t xml:space="preserve">Remote rainforest; rarely met.</t>
  </si>
  <si>
    <t xml:space="preserve">Annulated sea snake</t>
  </si>
  <si>
    <t xml:space="preserve">Blue-banded sea snake</t>
  </si>
  <si>
    <t xml:space="preserve">Clinical: Myotoxicity/paralysis would progress over hours if envenomation occurred.</t>
  </si>
  <si>
    <t xml:space="preserve">Widespread Indo-Pacific coastal sea snake; met mostly by fishers handling nets.</t>
  </si>
  <si>
    <t xml:space="preserve">Elegant sea snake</t>
  </si>
  <si>
    <t xml:space="preserve">Bar-bellied sea snake</t>
  </si>
  <si>
    <t xml:space="preserve">Australian &amp; Indo-Pacific waters</t>
  </si>
  <si>
    <t xml:space="preserve">Clinical: Myotoxicity/paralysis over hours if envenomed. Also known as bar-bellied sea snake.</t>
  </si>
  <si>
    <t xml:space="preserve">Sea snake of Australian waters; met mostly by fishers and trawler crews.</t>
  </si>
  <si>
    <t xml:space="preserve">Olive brown sea snake</t>
  </si>
  <si>
    <t xml:space="preserve">Olive sea snake; Golden sea snake</t>
  </si>
  <si>
    <t xml:space="preserve">Australian &amp; Coral Sea waters</t>
  </si>
  <si>
    <t xml:space="preserve">Taxonomy: Likely the olive sea snake (Aipysurus laevis); species-level match to the name 'olive brown sea snake' is uncertain.</t>
  </si>
  <si>
    <t xml:space="preserve">Reef sea snake; met mainly by divers.</t>
  </si>
  <si>
    <t xml:space="preserve">White-lipped pit viper</t>
  </si>
  <si>
    <t xml:space="preserve">White-lipped tree viper</t>
  </si>
  <si>
    <t xml:space="preserve">Clinical: Local swelling and tissue damage; rarely fatal with treatment. Bite propensity: Unscored: v3.2 text describes habitat, not temperament.</t>
  </si>
  <si>
    <t xml:space="preserve">Common in plantations and gardens of South and Southeast Asia.</t>
  </si>
  <si>
    <t xml:space="preserve">Mamushi</t>
  </si>
  <si>
    <t xml:space="preserve">Japanese mamushi; Japanese pit viper</t>
  </si>
  <si>
    <t xml:space="preserve">Japan, East Asia</t>
  </si>
  <si>
    <t xml:space="preserve">Clinical: Local tissue damage and coagulopathy develop over time. Antivenom: Japan.</t>
  </si>
  <si>
    <t xml:space="preserve">Rice fields and hills of Japan and East Asia.</t>
  </si>
  <si>
    <t xml:space="preserve">Speckled brown snake</t>
  </si>
  <si>
    <t xml:space="preserve">Spotted brown snake</t>
  </si>
  <si>
    <t xml:space="preserve">Central Queensland, Australia</t>
  </si>
  <si>
    <t xml:space="preserve">Clinical: Similar to other brown snakes: rapid paralysis/coagulopathy possible. Antivenom: Australia.</t>
  </si>
  <si>
    <t xml:space="preserve">Inland grasslands and clay soil plains of central Australia (QLD, NT, SA); met occasionally.</t>
  </si>
  <si>
    <t xml:space="preserve">Western brown snake</t>
  </si>
  <si>
    <t xml:space="preserve">Gwardar</t>
  </si>
  <si>
    <t xml:space="preserve">Most of Australia</t>
  </si>
  <si>
    <t xml:space="preserve">Taxonomy: Split from P. nuchalis; LD50 may predate split. Clinical: Rapid paralysis/coagulopathy possible. Antivenom: Australia.</t>
  </si>
  <si>
    <t xml:space="preserve">Widespread across Australia's dry interior; met on farms.</t>
  </si>
  <si>
    <t xml:space="preserve">Dugite</t>
  </si>
  <si>
    <t xml:space="preserve">SW Australia</t>
  </si>
  <si>
    <t xml:space="preserve">Antivenom: Australia.</t>
  </si>
  <si>
    <t xml:space="preserve">Common in SW Australia, including around Perth.</t>
  </si>
  <si>
    <t xml:space="preserve">Stephens' banded snake</t>
  </si>
  <si>
    <t xml:space="preserve">SE Queensland, N. New South Wales</t>
  </si>
  <si>
    <t xml:space="preserve">Lives in trees in a small area of eastern Australia; less often met.</t>
  </si>
  <si>
    <t xml:space="preserve">Blue-bellied black snake</t>
  </si>
  <si>
    <t xml:space="preserve">Spotted black snake</t>
  </si>
  <si>
    <t xml:space="preserve">Floodplains of SE Queensland and northern NSW; met occasionally.</t>
  </si>
  <si>
    <t xml:space="preserve">Mulga snake</t>
  </si>
  <si>
    <t xml:space="preserve">King brown snake; Pilbara cobra</t>
  </si>
  <si>
    <t xml:space="preserve">Most of Australia (except SE/S coast)</t>
  </si>
  <si>
    <t xml:space="preserve">Clinical: Myotoxicity, anticoagulant coagulopathy and hemolysis develop over time; large venom volume compensates for lower per-mg toxicity. Antivenom: Australia.</t>
  </si>
  <si>
    <t xml:space="preserve">Widespread across most of Australia.</t>
  </si>
  <si>
    <t xml:space="preserve">Collett's snake</t>
  </si>
  <si>
    <t xml:space="preserve">Collett's black snake; Down's tiger snake</t>
  </si>
  <si>
    <t xml:space="preserve">Antivenom: Australia. Bite propensity: Unscored: temperament not documented. Bite propensity 2: genus-level only - VAPAGuide: 'Black snakes are generally not aggressive' (mulgas excepted). No species-specific temperament source found. [Added 2026-09-29, Claude; confirmed by user 2026-09-29]</t>
  </si>
  <si>
    <t xml:space="preserve">Small range in inland Queensland; met occasionally.</t>
  </si>
  <si>
    <t xml:space="preserve">Chinese cobra</t>
  </si>
  <si>
    <t xml:space="preserve">Taiwan cobra; Formosan cobra</t>
  </si>
  <si>
    <t xml:space="preserve">Southern China, Taiwan, Vietnam, Laos</t>
  </si>
  <si>
    <t xml:space="preserve">Clinical: Neurotoxic paralysis and severe local necrosis. Antivenom: Taiwan/China.</t>
  </si>
  <si>
    <t xml:space="preserve">Common in farmland and near towns in southern China and Taiwan.</t>
  </si>
  <si>
    <t xml:space="preserve">Cape cobra</t>
  </si>
  <si>
    <t xml:space="preserve">Yellow cobra; Geelslang</t>
  </si>
  <si>
    <t xml:space="preserve">Southern Africa (Cape provinces, Namibia, Botswana)</t>
  </si>
  <si>
    <t xml:space="preserve">Clinical: Rapid progressive weakness, can affect breathing quickly. Antivenom: SAIMR polyvalent.</t>
  </si>
  <si>
    <t xml:space="preserve">Often enters homes and farm buildings in southern Africa.</t>
  </si>
  <si>
    <t xml:space="preserve">Monocled cobra</t>
  </si>
  <si>
    <t xml:space="preserve">Monocellate cobra</t>
  </si>
  <si>
    <t xml:space="preserve">Common near rice fields and villages in South and Southeast Asia.</t>
  </si>
  <si>
    <t xml:space="preserve">Western green mamba</t>
  </si>
  <si>
    <t xml:space="preserve">West African green mamba</t>
  </si>
  <si>
    <t xml:space="preserve">West Africa</t>
  </si>
  <si>
    <t xml:space="preserve">Antivenom: SAIMR polyvalent.</t>
  </si>
  <si>
    <t xml:space="preserve">Coastal forest trees of West Africa; rarely met.</t>
  </si>
  <si>
    <t xml:space="preserve">Central Ranges taipan</t>
  </si>
  <si>
    <t xml:space="preserve">Western Desert taipan</t>
  </si>
  <si>
    <t xml:space="preserve">Central Australia (Great Victoria Desert)</t>
  </si>
  <si>
    <t xml:space="preserve">Onset: Onset unknown. Antivenom: CSL taipan antivenom prevented the neurotoxic effects of its venom in the lab (Barber et al. 2014, Toxins 6(7):1979); no human bites recorded, so clinical efficacy is unconfirmed. Rated Widely available from 2026-09-29. Bite propensity: Unscored: behaviour virtually unknown.</t>
  </si>
  <si>
    <t xml:space="preserve">Only a handful of specimens known, all from remote desert.</t>
  </si>
  <si>
    <t xml:space="preserve">Peron's sea snake</t>
  </si>
  <si>
    <t xml:space="preserve">Horned sea snake</t>
  </si>
  <si>
    <t xml:space="preserve">Coral Sea, N. Australian waters</t>
  </si>
  <si>
    <t xml:space="preserve">Taxonomy: Formerly Acalyptophis peronii.</t>
  </si>
  <si>
    <t xml:space="preserve">Reef sea snake; met mostly by divers.</t>
  </si>
  <si>
    <t xml:space="preserve">Many-banded krait</t>
  </si>
  <si>
    <t xml:space="preserve">Taiwanese krait; Chinese krait</t>
  </si>
  <si>
    <t xml:space="preserve">China, Taiwan, Southeast Asia (marshy areas)</t>
  </si>
  <si>
    <t xml:space="preserve">Taxonomy: 'Taiwanese krait' is the same species (merged). Clinical: Similar delayed-recognition risk to other kraits: bite is frequently painless, delaying treatment even though paralysis progresses over hours. Also called Taiwanese krait or Chinese krait. Onset: Fast once symptomatic, but often diagnosed late. Antivenom: Taiwan/China.</t>
  </si>
  <si>
    <t xml:space="preserve">Near wetlands, farmland and villages in southern China and Taiwan; active at night.</t>
  </si>
  <si>
    <t xml:space="preserve">Black-banded sea krait</t>
  </si>
  <si>
    <t xml:space="preserve">Erabu sea krait; Chinese sea snake</t>
  </si>
  <si>
    <t xml:space="preserve">Western Pacific (Japan, Philippines, Taiwan waters)</t>
  </si>
  <si>
    <t xml:space="preserve">Sea krait that comes ashore on rocky coasts; met occasionally.</t>
  </si>
  <si>
    <t xml:space="preserve">Belcher's sea snake</t>
  </si>
  <si>
    <t xml:space="preserve">Faint-banded sea snake</t>
  </si>
  <si>
    <t xml:space="preserve">Indo-Pacific (Timor Sea, Coral Sea)</t>
  </si>
  <si>
    <t xml:space="preserve">Onset: Onset applies only if envenomation occurs.</t>
  </si>
  <si>
    <t xml:space="preserve">Reef sea snake; met mostly by fishers.</t>
  </si>
  <si>
    <t xml:space="preserve">African birdsnake</t>
  </si>
  <si>
    <t xml:space="preserve">Southern twig snake; Vine snake</t>
  </si>
  <si>
    <t xml:space="preserve">Central &amp; Southern Africa</t>
  </si>
  <si>
    <t xml:space="preserve">None</t>
  </si>
  <si>
    <t xml:space="preserve">Clinical: Symptoms can be delayed and deceptively mild at first, similar to boomslang envenomation, with severe internal bleeding developing later. Onset: Delayed onset, similar to boomslang. Venom: Procoagulant, like boomslang (corrected 2026-09-29 from 'anticoagulant'). Antivenom: none - African Snakebite Institute: 'There is no antivenom for the venom of this snake' (changed from Very limited / unconfirmed, 2026-09-29).</t>
  </si>
  <si>
    <t xml:space="preserve">Lives in trees and bushes, camouflaged as a twig; rarely met.</t>
  </si>
  <si>
    <t xml:space="preserve">Common lancehead</t>
  </si>
  <si>
    <t xml:space="preserve">Amazon basin, northern South America</t>
  </si>
  <si>
    <t xml:space="preserve">Taxonomy: Distinct from Bothrops asper (Terciopelo), although both are sometimes called 'fer-de-lance'. Clinical: Severe local tissue damage and coagulopathy develop over hours to days. Antivenom: South America.</t>
  </si>
  <si>
    <t xml:space="preserve">Very common on farms and forest edges in the Amazon region.</t>
  </si>
  <si>
    <t xml:space="preserve">Hundred-pace pit viper</t>
  </si>
  <si>
    <t xml:space="preserve">Sharp-nosed viper; Chinese moccasin</t>
  </si>
  <si>
    <t xml:space="preserve">China, Taiwan, Vietnam</t>
  </si>
  <si>
    <t xml:space="preserve">Taxonomy: 'Sharp-nosed viper' is this species. Clinical: Name references folklore that a victim can only walk 100 paces before dying; not literal, but reflects historical fear of this species. Antivenom: China/Taiwan.</t>
  </si>
  <si>
    <t xml:space="preserve">Mountain forests and farmland of southern China and Taiwan.</t>
  </si>
  <si>
    <t xml:space="preserve">Central American coral snake</t>
  </si>
  <si>
    <t xml:space="preserve">Black-banded coral snake</t>
  </si>
  <si>
    <t xml:space="preserve">Clinical: Paralysis onset can be insidious and delayed, similar to other coral snakes. Onset: Onset can be delayed.</t>
  </si>
  <si>
    <t xml:space="preserve">Secretive; seldom seen.</t>
  </si>
  <si>
    <t xml:space="preserve">Yellow-lipped sea krait</t>
  </si>
  <si>
    <t xml:space="preserve">Banded sea krait; Colubrine sea krait</t>
  </si>
  <si>
    <t xml:space="preserve">Taxonomy: The v3.2 'Sea krait' row (LD50 0.16) was the same species and was merged into this row.</t>
  </si>
  <si>
    <t xml:space="preserve">Comes ashore on beaches and rocks, where people can meet it.</t>
  </si>
  <si>
    <t xml:space="preserve">Nose-horned viper</t>
  </si>
  <si>
    <t xml:space="preserve">Horned viper; Sand viper</t>
  </si>
  <si>
    <t xml:space="preserve">Southern Europe, Balkans, Turkey</t>
  </si>
  <si>
    <t xml:space="preserve">Clinical: Local tissue damage develops gradually. Antivenom: Europe.</t>
  </si>
  <si>
    <t xml:space="preserve">Rocky hillsides and farmland of the Balkans.</t>
  </si>
  <si>
    <t xml:space="preserve">Congo water cobra</t>
  </si>
  <si>
    <t xml:space="preserve">Banded water cobra</t>
  </si>
  <si>
    <t xml:space="preserve">Sub-Saharan Africa (rivers, lakes)</t>
  </si>
  <si>
    <t xml:space="preserve">Taxonomy: Formerly Boulengerina annulata. Antivenom: SAIMR polyvalent, limited data on efficacy. Bite propensity: Unscored: behaviour not documented.</t>
  </si>
  <si>
    <t xml:space="preserve">Semi-aquatic cobra of Central African rivers and lakes (e.g. Lake Tanganyika); met mostly by fishers.</t>
  </si>
  <si>
    <t xml:space="preserve">Speckled rattlesnake</t>
  </si>
  <si>
    <t xml:space="preserve">SW USA, NW Mexico (Baja California)</t>
  </si>
  <si>
    <t xml:space="preserve">Taxonomy: Split: C. pyrrhus now separate; unclear which LD50 refers to. Antivenom: USA.</t>
  </si>
  <si>
    <t xml:space="preserve">Rocky desert slopes; met occasionally.</t>
  </si>
  <si>
    <t xml:space="preserve">Papuan black snake</t>
  </si>
  <si>
    <t xml:space="preserve">New Guinea</t>
  </si>
  <si>
    <t xml:space="preserve">Bite propensity 3: AVRU - 'nervous disposition... will strike aggressively if cornered'. Clinical: Bites can cause paralysis and bleeding problems, and look much like a taipan bite. Paralysis can be severe enough to need a breathing machine. Antivenom: Black snake antivenom (made in Australia); supply in New Guinea is limited. Sources: Lalloo et al. (1994) Toxicon - 9 proven cases among 335 snakebite patients, Central Province PNG; neurotoxicity in 5 (1 ventilated), haemostatic disturbance; 'indistinguishable from taipan envenoming', so onset set to match taipan. CSL black snake AV indicated (MAVIN, Munich); access rated Limited as a judgement. Encounter 2 (user decision 2026-09-29): 9 of 335 snakebites in the Lalloo 1994 study area, and a reported decline in abundance over 25 years. [Added 2026-09-29, Claude; confirmed by user 2026-09-29]</t>
  </si>
  <si>
    <t xml:space="preserve">Now rare in southern New Guinea; 9 of 335 bites in one study area.</t>
  </si>
  <si>
    <t xml:space="preserve">Rough-scaled snake</t>
  </si>
  <si>
    <t xml:space="preserve">E Australia (QLD/NSW)</t>
  </si>
  <si>
    <t xml:space="preserve">Bite propensity 5: VAPAGuide (Swiss TPH) - 'very aggressive when threatened and even under slight provocation will strike fiercely and repeatedly'; AVRU: 'aggressive, may strike rapidly when provoked'. Clinical: Bites stop the blood from clotting, and some damage muscle or cause mild paralysis such as drooping eyelids. In 24 confirmed cases in 2004-2008, everyone survived with treatment. Antivenom: Tiger snake antivenom. Sources: Gan et al. (2009) Med J Aust 191(3):183-186 - 24 confirmed cases, VICC in all 24, myotoxicity 3, mild neurotoxicity 2, no deaths. Onset 'Fast (hours)' set by analogy with other VICC-causing Australian elapids; the paper gives no time-to-onset. Tiger snake AV used in 21 of 23 treated cases. Encounter 4 (user decision 2026-09-29): 24 confirmed envenomings in 2004-2008 (Gan et al. 2009), similar to Stephens' banded snake. [Added 2026-09-29, Claude; confirmed by user 2026-09-29]</t>
  </si>
  <si>
    <t xml:space="preserve">Wet forests of eastern Australia; 24 confirmed envenomings in 4 years.</t>
  </si>
  <si>
    <t xml:space="preserve">Small-eyed snake</t>
  </si>
  <si>
    <t xml:space="preserve">E Australia</t>
  </si>
  <si>
    <t xml:space="preserve">Secretive and nocturnal snake of eastern Australia; found under logs and rocks, occasionally met in gardens.</t>
  </si>
  <si>
    <t xml:space="preserve">Olive whip snake</t>
  </si>
  <si>
    <t xml:space="preserve">N Australia</t>
  </si>
  <si>
    <t xml:space="preserve">Fast-moving diurnal snake of northern Australia and southern New Guinea; met in savanna, woodlands, and scrubland.</t>
  </si>
  <si>
    <t xml:space="preserve">LD50 (mg/kg)</t>
  </si>
  <si>
    <t xml:space="preserve">Route</t>
  </si>
  <si>
    <t xml:space="preserve">Route basis</t>
  </si>
  <si>
    <t xml:space="preserve">Vehicle</t>
  </si>
  <si>
    <t xml:space="preserve">Source</t>
  </si>
  <si>
    <t xml:space="preserve">Tier</t>
  </si>
  <si>
    <t xml:space="preserve">Status</t>
  </si>
  <si>
    <t xml:space="preserve">Note</t>
  </si>
  <si>
    <t xml:space="preserve">In spread</t>
  </si>
  <si>
    <t xml:space="preserve">Lookup key</t>
  </si>
  <si>
    <t xml:space="preserve">SC</t>
  </si>
  <si>
    <t xml:space="preserve">stated</t>
  </si>
  <si>
    <t xml:space="preserve">saline</t>
  </si>
  <si>
    <t xml:space="preserve">Broad, Sutherland &amp; Coulter (1979) Toxicon 17:661-664. Mice, SC.</t>
  </si>
  <si>
    <t xml:space="preserve">A</t>
  </si>
  <si>
    <t xml:space="preserve">Used</t>
  </si>
  <si>
    <t xml:space="preserve">Saline vehicle.</t>
  </si>
  <si>
    <t xml:space="preserve">saline+BSA</t>
  </si>
  <si>
    <t xml:space="preserve">Vehicle variant</t>
  </si>
  <si>
    <t xml:space="preserve">Same study, venom diluted with bovine serum albumin. Not a competing estimate.</t>
  </si>
  <si>
    <t xml:space="preserve">assumed</t>
  </si>
  <si>
    <t xml:space="preserve">Ernst &amp; Zug (1996) compilation (secondary); primary study not traced</t>
  </si>
  <si>
    <t xml:space="preserve">C</t>
  </si>
  <si>
    <t xml:space="preserve">IV</t>
  </si>
  <si>
    <t xml:space="preserve">Origin not traced (value carried from v1)</t>
  </si>
  <si>
    <t xml:space="preserve">D</t>
  </si>
  <si>
    <t xml:space="preserve">No located provenance; see alternative rows.</t>
  </si>
  <si>
    <t xml:space="preserve">Alternative</t>
  </si>
  <si>
    <t xml:space="preserve">Competing estimate to the held value.</t>
  </si>
  <si>
    <t xml:space="preserve">unknown</t>
  </si>
  <si>
    <t xml:space="preserve">User-provided figure; not independently verified</t>
  </si>
  <si>
    <t xml:space="preserve">Could not be independently verified from accessible toxicology sources; included from a user-provided figure.</t>
  </si>
  <si>
    <t xml:space="preserve">Murine IV figures cited in secondary literature (0.32-0.33)</t>
  </si>
  <si>
    <t xml:space="preserve">Other route</t>
  </si>
  <si>
    <t xml:space="preserve">IV, so not directly comparable with SC.</t>
  </si>
  <si>
    <t xml:space="preserve">From a mixed-route reference; route not confirmed as SC.</t>
  </si>
  <si>
    <t xml:space="preserve">IM</t>
  </si>
  <si>
    <t xml:space="preserve">stated in note</t>
  </si>
  <si>
    <t xml:space="preserve">Sourced values are intramuscular (IM 0.155-0.24 mg/kg, per Fry; full citation not recorded). Not confirmed SC. Reputation as one of the most toxic snakes is now considered overstated/disputed.</t>
  </si>
  <si>
    <t xml:space="preserve">No located provenance. Was the Used value until 2026-09-29; kept on record as a competing figure.</t>
  </si>
  <si>
    <t xml:space="preserve">Used from 2026-09-29 (user decision): only figure traceable to a named study with method stated.</t>
  </si>
  <si>
    <t xml:space="preserve">Circulating secondary figure; primary not traced</t>
  </si>
  <si>
    <t xml:space="preserve">Route unstated. Clusters with Broad 0.164 against the held 0.02.</t>
  </si>
  <si>
    <t xml:space="preserve">Untraced. The merged duplicate row carried 0.16 (see alternative row). No located provenance; see alternative rows.</t>
  </si>
  <si>
    <t xml:space="preserve">Merged duplicate 'Sea krait' row; untraced</t>
  </si>
  <si>
    <t xml:space="preserve">SC value as 'Erabu sea krait' in Ernst &amp; Zug. A lower figure (0.111) appears in some other compilations.</t>
  </si>
  <si>
    <t xml:space="preserve">Other compilations (not named in v3.2)</t>
  </si>
  <si>
    <t xml:space="preserve">IP</t>
  </si>
  <si>
    <t xml:space="preserve">Sourced value is intraperitoneal (IP 0.120 mg/kg), not confirmed SC.</t>
  </si>
  <si>
    <t xml:space="preserve">Source gives a range of 0.53-0.67 mg/kg SC; the midpoint is held.</t>
  </si>
  <si>
    <t xml:space="preserve">No clean SC value found. 0.225 is an IP figure; 0.373 IV is also reported. Not directly comparable with SC rows.</t>
  </si>
  <si>
    <t xml:space="preserve">Ernst &amp; Zug (1996), as cited in secondary literature</t>
  </si>
  <si>
    <t xml:space="preserve">The held 0.12 does not match its own stated compilation. Re-check against the compilation.</t>
  </si>
  <si>
    <t xml:space="preserve">A peer-reviewed comparative study (Toxins, 2014) found its venom LESS lethal than the inland taipan's, but no independently confirmed SC LD50 was found; 0.075 is used with that caveat.</t>
  </si>
  <si>
    <t xml:space="preserve">Follow-up reference (v3.2); methodology/source not recorded</t>
  </si>
  <si>
    <t xml:space="preserve">Rejected</t>
  </si>
  <si>
    <t xml:space="preserve">Matches neither Broad column (2.13 saline / 1.53 BSA). Conflict closed in favour of 2.13.</t>
  </si>
  <si>
    <t xml:space="preserve">Low / typical (mg)</t>
  </si>
  <si>
    <t xml:space="preserve">Max (mg)</t>
  </si>
  <si>
    <t xml:space="preserve">Statistic (what the two numbers are)</t>
  </si>
  <si>
    <t xml:space="preserve">Mass basis</t>
  </si>
  <si>
    <t xml:space="preserve">Basis stated?</t>
  </si>
  <si>
    <t xml:space="preserve">n</t>
  </si>
  <si>
    <t xml:space="preserve">unstated — assumed range across specimens</t>
  </si>
  <si>
    <t xml:space="preserve">dry</t>
  </si>
  <si>
    <t xml:space="preserve">N</t>
  </si>
  <si>
    <t xml:space="preserve">Ernst &amp; Zug (1996) compilation (secondary); basis not stated</t>
  </si>
  <si>
    <t xml:space="preserve">reported range across specimens</t>
  </si>
  <si>
    <t xml:space="preserve">mean 443 (range 199-935)</t>
  </si>
  <si>
    <t xml:space="preserve">wet</t>
  </si>
  <si>
    <t xml:space="preserve">2026 African milking study (citation not recorded in v3.2)</t>
  </si>
  <si>
    <t xml:space="preserve">Other basis</t>
  </si>
  <si>
    <t xml:space="preserve">WET mass. At a ~3.5-4x wet:dry ratio this is ~110-125 mg dry mean, consistent with the held dry range.</t>
  </si>
  <si>
    <t xml:space="preserve">range 70-140, max 300</t>
  </si>
  <si>
    <t xml:space="preserve">range 100-150, max 300</t>
  </si>
  <si>
    <t xml:space="preserve">Yield is a single point estimate, not a range.</t>
  </si>
  <si>
    <t xml:space="preserve">average 100-120, max 400</t>
  </si>
  <si>
    <t xml:space="preserve">Held 50-100 range is the low outlier. Needs a primary source.</t>
  </si>
  <si>
    <t xml:space="preserve">mean 571 mg / max 1102 mg across 59 milkings</t>
  </si>
  <si>
    <t xml:space="preserve">Mirtschin et al. (2006) Ecotoxicology 15:531-538 — dry venom, n=59 milkings. Tier B pending the PDF itself.</t>
  </si>
  <si>
    <t xml:space="preserve">B</t>
  </si>
  <si>
    <t xml:space="preserve">Captive milking programme. Low/typical figure is the study MEAN; max is the study maximum. See taxonomy note on the 2018 split.</t>
  </si>
  <si>
    <t xml:space="preserve">range 180-300, max 500</t>
  </si>
  <si>
    <t xml:space="preserve">Runs LOWER than the held figures; statistic mismatch plus the 2018 taxonomic split likely.</t>
  </si>
  <si>
    <t xml:space="preserve">Yield figure from a mixed-route reference; lower confidence.</t>
  </si>
  <si>
    <t xml:space="preserve">IPCS INCHEM PIM 394 (avg 44mg, max 110mg)</t>
  </si>
  <si>
    <t xml:space="preserve">Dry; basis stated by source.</t>
  </si>
  <si>
    <t xml:space="preserve">avg 180 mg / max 600 mg</t>
  </si>
  <si>
    <t xml:space="preserve">IPCS INCHEM PIM 449 (avg 180mg, max 600mg)</t>
  </si>
  <si>
    <t xml:space="preserve">Dry. avg 180 mg / max 600 mg.</t>
  </si>
  <si>
    <t xml:space="preserve">typical 180-300, max 1350</t>
  </si>
  <si>
    <t xml:space="preserve">Max 1350 not supported by IPCS INCHEM PIM 449; corrected to 600 in v2.</t>
  </si>
  <si>
    <t xml:space="preserve">mean 18.12 (SD 10.53), max 52.58 per milking</t>
  </si>
  <si>
    <t xml:space="preserve">Masci, Mirtschin, Nias, Turnbull, Kuchel &amp; Whitaker (1998) Anaesth Intensive Care 26(3), PMID 9619222, Table 1. Freeze-dried.</t>
  </si>
  <si>
    <t xml:space="preserve">n = 4 snakes, repeated milkings over 15 months (66 brown snake milkings in total across species).</t>
  </si>
  <si>
    <t xml:space="preserve">average ~6, record 17</t>
  </si>
  <si>
    <t xml:space="preserve">unstated</t>
  </si>
  <si>
    <t xml:space="preserve">Australian Venom Research Unit (Univ. Melbourne) species page, accessed 2026-09-29; no primary source cited</t>
  </si>
  <si>
    <t xml:space="preserve">Runs ~3x lower than Masci 1998; Masci notes yields were higher than previously reported.</t>
  </si>
  <si>
    <t xml:space="preserve">mean 15.01 (SD 5.25), max 32.92 per milking</t>
  </si>
  <si>
    <t xml:space="preserve">Tier A study, graded C here: specimens recorded as P. nuchalis (pre-2009 split). Mapping to P. mengdeni is an assumption - same issue as this species' LD50.</t>
  </si>
  <si>
    <t xml:space="preserve">average 26, maximum 85</t>
  </si>
  <si>
    <t xml:space="preserve">average ~200, maximum 494</t>
  </si>
  <si>
    <t xml:space="preserve">range 10-45 (statistic unstated)</t>
  </si>
  <si>
    <t xml:space="preserve">Lang Balija, Brgles &amp; Halassy (2018) REPTILIA meeting, Univ. Zagreb Fac. Vet. Med. - comparison table; no primary cited</t>
  </si>
  <si>
    <t xml:space="preserve">average ~5.5 only; no maximum reported</t>
  </si>
  <si>
    <t xml:space="preserve">Average only. Not comparable with the max figures Quantity uses, so NOT used - entering it as a max would understate this species. Needs a max yield (Mirtschin et al. 2006 Ecotoxicology 15:531 likely has one).</t>
  </si>
  <si>
    <t xml:space="preserve">Measure</t>
  </si>
  <si>
    <t xml:space="preserve">Low</t>
  </si>
  <si>
    <t xml:space="preserve">High</t>
  </si>
  <si>
    <t xml:space="preserve">Unit</t>
  </si>
  <si>
    <t xml:space="preserve">Scope (where / when)</t>
  </si>
  <si>
    <t xml:space="preserve">Treatment status</t>
  </si>
  <si>
    <t xml:space="preserve">Display</t>
  </si>
  <si>
    <t xml:space="preserve">Annual deaths</t>
  </si>
  <si>
    <t xml:space="preserve">deaths/yr</t>
  </si>
  <si>
    <t xml:space="preserve">India</t>
  </si>
  <si>
    <t xml:space="preserve">Not recorded in v3.2; needs a source</t>
  </si>
  <si>
    <t xml:space="preserve">Rejected 2026-09-29: no species-level death estimate exists for India. Suraweera et al. (2020) eLife 9:e54076 estimate ~58,000 snakebite deaths/yr nationally, but the paper's 43% (Russell's viper), 18% (kraits) and 12% (cobras) are shares of BITES in studies that identified the snake, not shares of deaths. This figure appears to apply a bite share to the national death total.</t>
  </si>
  <si>
    <t xml:space="preserve">%</t>
  </si>
  <si>
    <t xml:space="preserve">untreated</t>
  </si>
  <si>
    <t xml:space="preserve">Untreated figure; no source found (searched 2026-09-29). v3.2 also notes ~50% fatal even with antivenom - also unsourced.</t>
  </si>
  <si>
    <t xml:space="preserve">USA</t>
  </si>
  <si>
    <t xml:space="preserve">Reported as &lt;1/yr.</t>
  </si>
  <si>
    <t xml:space="preserve">Taiwan, 1904-1938</t>
  </si>
  <si>
    <t xml:space="preserve">treatment unclear</t>
  </si>
  <si>
    <t xml:space="preserve">87 deaths in 593 recorded envenomations.</t>
  </si>
  <si>
    <t xml:space="preserve">Australia, 2005-2015</t>
  </si>
  <si>
    <t xml:space="preserve">Johnston, Ryan, Page, Buckley, Brown, O'Leary &amp; Isbister (2017) The Australian Snakebite Project, 2005-2015 (ASP-20). Med J Aust 207(3).</t>
  </si>
  <si>
    <t xml:space="preserve">None of the 23 snakebite deaths in Australia 2005-2015 was from an inland taipan. The wider claim of no confirmed death ever still needs a source.</t>
  </si>
  <si>
    <t xml:space="preserve">Australia 2005-2015, all brown snakes</t>
  </si>
  <si>
    <t xml:space="preserve">17 of 23 snakebite deaths (2005-2015) were from brown snakes (Pseudonaja spp.), about 1.7 a year. Genus level: the species was not always identified.</t>
  </si>
  <si>
    <t xml:space="preserve">Thailand, poison centre cases</t>
  </si>
  <si>
    <t xml:space="preserve">Tongpoo, Sriapha, Pradoo et al. (2018) Krait envenomation in Thailand. Therapeutics and Clinical Risk Management 14:1711-1717.</t>
  </si>
  <si>
    <t xml:space="preserve">5 deaths among 68 Malayan krait bites reported to a Thai poison centre.</t>
  </si>
  <si>
    <t xml:space="preserve">Australia 2005-2015, tiger snakes</t>
  </si>
  <si>
    <t xml:space="preserve">4 of 23 snakebite deaths (2005-2015) were from tiger snakes.</t>
  </si>
  <si>
    <t xml:space="preserve">SETTINGS - weights, scaling and category levels for the two scores</t>
  </si>
  <si>
    <t xml:space="preserve">YELLOW cells are yours to change. Everything else is calculated. Weights need not sum to 100: each score is a weighted mean, renormalised over the dimensions a species actually has.</t>
  </si>
  <si>
    <t xml:space="preserve">VENOM HAZARD - how dangerous the venom itself is (lab and milking data)</t>
  </si>
  <si>
    <t xml:space="preserve">Dimension</t>
  </si>
  <si>
    <t xml:space="preserve">Weight</t>
  </si>
  <si>
    <t xml:space="preserve">What it measures</t>
  </si>
  <si>
    <t xml:space="preserve">Underlying data</t>
  </si>
  <si>
    <t xml:space="preserve">Scale used (live)</t>
  </si>
  <si>
    <t xml:space="preserve">Effective swing</t>
  </si>
  <si>
    <t xml:space="preserve">Share of swing</t>
  </si>
  <si>
    <t xml:space="preserve">How toxic the venom is per unit mass</t>
  </si>
  <si>
    <t xml:space="preserve">LD50 used (mg/kg), log-scaled between the trimmed anchors below. Lower LD50 = higher score.</t>
  </si>
  <si>
    <t xml:space="preserve">How much venom a maximal bite can deliver</t>
  </si>
  <si>
    <t xml:space="preserve">Yield max (mg), log-scaled between the raw min and max of the column.</t>
  </si>
  <si>
    <t xml:space="preserve">Total</t>
  </si>
  <si>
    <t xml:space="preserve">Both dimensions are required; a species missing either gets "needs LD50" or "needs yield".</t>
  </si>
  <si>
    <t xml:space="preserve">HUMAN RISK - how likely a bite is to happen and to go badly</t>
  </si>
  <si>
    <t xml:space="preserve">How likely people are to meet the snake</t>
  </si>
  <si>
    <t xml:space="preserve">Encounter (1-10), author estimate, mapped onto the ordinal floor/ceiling.</t>
  </si>
  <si>
    <t xml:space="preserve">How likely an encounter becomes a bite</t>
  </si>
  <si>
    <t xml:space="preserve">Bite propensity (1-5), assigned in v3.3 from the v3.2 behaviour text, mapped onto floor/ceiling. NEW - the weight of 15 is a starting value, not calibrated.</t>
  </si>
  <si>
    <t xml:space="preserve">DIRECTION SET BY B30. "mortality": slow onset scores high (delays care-seeking). "urgency": fast onset scores high.</t>
  </si>
  <si>
    <t xml:space="preserve">Onset level (1-5, table below), flipped if B30 = "mortality", mapped onto floor/ceiling.</t>
  </si>
  <si>
    <t xml:space="preserve">KNOWN DEFECT: measures whether a product exists regionally, not whether a victim can reach it in time.</t>
  </si>
  <si>
    <t xml:space="preserve">Antivenom access level (1-5, table below; 5 = least treatable), mapped onto floor/ceiling.</t>
  </si>
  <si>
    <t xml:space="preserve">Minimum dimensions for a Human Risk score</t>
  </si>
  <si>
    <t xml:space="preserve">Species with fewer scored dimensions show "insufficient data". Compare Human Risk only between rows with the same "Risk dimensions used" count where possible.</t>
  </si>
  <si>
    <t xml:space="preserve">NORMALISATION ANCHORS</t>
  </si>
  <si>
    <t xml:space="preserve">Lower trim percentile (LD50)</t>
  </si>
  <si>
    <t xml:space="preserve">LD50 anchors are trimmed percentiles, not the raw extremes (0.02 disputed; 714.2 a ceiling reading). Set 0 and 1 to use the raw min/max.</t>
  </si>
  <si>
    <t xml:space="preserve">Upper trim percentile (LD50)</t>
  </si>
  <si>
    <t xml:space="preserve">LD50 anchor - most toxic end (mg/kg)</t>
  </si>
  <si>
    <t xml:space="preserve">LD50 anchor - least toxic end (mg/kg)</t>
  </si>
  <si>
    <t xml:space="preserve">Yield anchor - smallest max yield (mg)</t>
  </si>
  <si>
    <t xml:space="preserve">Yield anchor - largest max yield (mg)</t>
  </si>
  <si>
    <t xml:space="preserve">ORDINAL SCALING</t>
  </si>
  <si>
    <t xml:space="preserve">Ordinal floor</t>
  </si>
  <si>
    <t xml:space="preserve">Lowest category maps to this, not to 0 (a category is a band, not "no contribution").</t>
  </si>
  <si>
    <t xml:space="preserve">Ordinal ceiling</t>
  </si>
  <si>
    <t xml:space="preserve">Highest category maps to this. Applies to Encounter, Bite propensity, Onset and Antivenom access.</t>
  </si>
  <si>
    <t xml:space="preserve">Onset direction</t>
  </si>
  <si>
    <t xml:space="preserve">mortality</t>
  </si>
  <si>
    <t xml:space="preserve">"mortality" or "urgency". Anything else behaves as "urgency" and QA Checks warns.</t>
  </si>
  <si>
    <t xml:space="preserve">ONSET LEVELS (untreated) - ordinal 5 = fastest</t>
  </si>
  <si>
    <t xml:space="preserve">Level (as used on Species)</t>
  </si>
  <si>
    <t xml:space="preserve">Ordinal</t>
  </si>
  <si>
    <t xml:space="preserve">ANTIVENOM ACCESS LEVELS - ordinal 5 = least treatable</t>
  </si>
  <si>
    <t xml:space="preserve">Very limited / unconfirmed</t>
  </si>
  <si>
    <t xml:space="preserve">BITE PROPENSITY SCALE (reference)</t>
  </si>
  <si>
    <t xml:space="preserve">Description</t>
  </si>
  <si>
    <t xml:space="preserve">Score</t>
  </si>
  <si>
    <t xml:space="preserve">Strikes readily and repeatedly, or pursues a threat</t>
  </si>
  <si>
    <t xml:space="preserve">Bites readily when disturbed, or holds still and strikes when stepped on</t>
  </si>
  <si>
    <t xml:space="preserve">Defensive if cornered or provoked; usually warns or retreats first</t>
  </si>
  <si>
    <t xml:space="preserve">Shy or docile; bites mainly if handled or stepped on</t>
  </si>
  <si>
    <t xml:space="preserve">Rarely bites even when handled</t>
  </si>
  <si>
    <t xml:space="preserve">Blank = the v3.2 text described habitat or appearance, not temperament. Left unresolved rather than guessed.</t>
  </si>
  <si>
    <t xml:space="preserve">COMBINED SCORE - Venom Hazard and Human Risk together (Combined sheet)</t>
  </si>
  <si>
    <t xml:space="preserve">What it contributes</t>
  </si>
  <si>
    <t xml:space="preserve">Venom Hazard</t>
  </si>
  <si>
    <t xml:space="preserve">How dangerous the venom itself is</t>
  </si>
  <si>
    <t xml:space="preserve">Weighted mean of the two scores, same rule as the scores themselves. Default 50/50 is a starting value, not calibrated. Both scores are required; a species missing either shows "needs Venom Hazard" or "needs Human Risk".</t>
  </si>
  <si>
    <t xml:space="preserve">Human Risk</t>
  </si>
  <si>
    <t xml:space="preserve">How likely a bite is to happen and go badly</t>
  </si>
  <si>
    <t xml:space="preserve">Re-blends what v3.3 split apart. Read it beside its two parts on the Combined sheet, never on its own: a middling combined score can be deadly venom on a rarely met snake, or the reverse.</t>
  </si>
  <si>
    <t xml:space="preserve">METHOD - snake venom danger dataset, v3.3</t>
  </si>
  <si>
    <t xml:space="preserve">What this workbook does</t>
  </si>
  <si>
    <t xml:space="preserve">Ranks venomous snakes on TWO separate scores, because they answer different questions. VENOM HAZARD: how dangerous is the venom itself (mouse LD50 and milking yield)? HUMAN RISK: how likely is a bite to happen and to go badly (encounter, bite propensity, onset, antivenom access)? v3.2 blended both into one composite, which made a high score impossible to explain: it could come from the venom or from where the snake lives.</t>
  </si>
  <si>
    <t xml:space="preserve">Where to look first</t>
  </si>
  <si>
    <t xml:space="preserve">Scores. Sort or filter it freely. The blue-headed Venom Hazard and Human Risk columns are the headline; Flags and Hazard data grade say how far to trust the first one.</t>
  </si>
  <si>
    <t xml:space="preserve">SHEETS</t>
  </si>
  <si>
    <t xml:space="preserve">Scores</t>
  </si>
  <si>
    <t xml:space="preserve">Both scores, ranks, their component dimensions, flags, and the outcome columns (deaths, case-fatality rate) to check them against.</t>
  </si>
  <si>
    <t xml:space="preserve">Species</t>
  </si>
  <si>
    <t xml:space="preserve">One row per species. Grey columns are calculated from the source sheets - do not type in them. White columns are direct inputs.</t>
  </si>
  <si>
    <t xml:space="preserve">LD50 Sources</t>
  </si>
  <si>
    <t xml:space="preserve">One row per LD50 measurement. Exactly one row per species has Status = Used; that is the value the model uses.</t>
  </si>
  <si>
    <t xml:space="preserve">Yield Sources</t>
  </si>
  <si>
    <t xml:space="preserve">One row per yield record (a low/typical and a max figure, with what the statistic is). At most one Used row per species.</t>
  </si>
  <si>
    <t xml:space="preserve">Clinical Sources</t>
  </si>
  <si>
    <t xml:space="preserve">Human outcome figures: annual deaths and case-fatality rate. Shown on Species and Scores; NOT inputs to either score.</t>
  </si>
  <si>
    <t xml:space="preserve">Settings</t>
  </si>
  <si>
    <t xml:space="preserve">Weights, anchors, ordinal floor/ceiling, onset direction, and the category level tables. Yellow cells are editable.</t>
  </si>
  <si>
    <t xml:space="preserve">Category Mapping</t>
  </si>
  <si>
    <t xml:space="preserve">Audit trail for the v3.3 conversion: the original v3.2 text beside the level assigned for bite propensity, onset and antivenom access, plus the v3.2 deaths text.</t>
  </si>
  <si>
    <t xml:space="preserve">Change Log</t>
  </si>
  <si>
    <t xml:space="preserve">Every value change (v2 onwards) plus the full v3.2 narrative history.</t>
  </si>
  <si>
    <t xml:space="preserve">QA Checks</t>
  </si>
  <si>
    <t xml:space="preserve">Live checks. Every row should read OK; info rows report counts.</t>
  </si>
  <si>
    <t xml:space="preserve">HOW TO ADD OR CORRECT DATA</t>
  </si>
  <si>
    <t xml:space="preserve">New LD50 or yield figure</t>
  </si>
  <si>
    <t xml:space="preserve">Add a row to the source sheet. If it should replace the current value, change the old row to Alternative (or Rejected) and mark the new row Used. Species, Scores, spreads and flags update automatically. Log the change on Change Log.</t>
  </si>
  <si>
    <t xml:space="preserve">Status values</t>
  </si>
  <si>
    <t xml:space="preserve">Used = the figure the model uses. Alternative = a competing estimate of the same thing; counts toward the spread. Vehicle variant / Other route / Other basis = a real figure that is not comparable (BSA diluent, IV instead of SC, wet instead of dry mass); reference only. Rejected = shown to be wrong; kept so it is not re-entered.</t>
  </si>
  <si>
    <t xml:space="preserve">New species</t>
  </si>
  <si>
    <t xml:space="preserve">Add the row on Species, add at least one Used LD50 row, and add the name to column A of Scores (copy the formulas in B:R down from the row above). QA Checks flags a species missing from either place.</t>
  </si>
  <si>
    <t xml:space="preserve">VENOM HAZARD</t>
  </si>
  <si>
    <t xml:space="preserve">From LD50 used. Log scale, because values span over four orders of magnitude. Anchored on trimmed percentiles (Settings B20:B23), clamped to 0-100.</t>
  </si>
  <si>
    <t xml:space="preserve">From Yield max. Log scale between the raw column min and max. Uses the MAX figure, so it favours species with wide yield ranges; the low/typical column is mostly the bottom of an unstated range, so it is not yet usable as a "typical bite".</t>
  </si>
  <si>
    <t xml:space="preserve">Weighted mean of Potency and Quantity (default 50/50, the same 1:1 ratio as v3.2). Both are required.</t>
  </si>
  <si>
    <t xml:space="preserve">Caveats</t>
  </si>
  <si>
    <t xml:space="preserve">Mouse SC LD50 measures fast death in mice. It favours fast-acting neurotoxins and underrates venoms that kill people over days through bleeding and kidney failure. Mixed routes (IV/IP/IM) are flagged, not converted. Milked yield is not injected dose.</t>
  </si>
  <si>
    <t xml:space="preserve">HUMAN RISK</t>
  </si>
  <si>
    <t xml:space="preserve">Dimensions</t>
  </si>
  <si>
    <t xml:space="preserve">Encounter (1-10), Bite propensity (1-5), Onset (5 levels) and Antivenom access (5 levels). Each is mapped onto the ordinal floor/ceiling (default 10-90) and combined as a weighted mean over the dimensions a species has. Default weights 25/15/15/10: v3.2's 25/15/10 for Encounter/Onset/Access, with Bite propensity new at 15 (a starting value, not calibrated).</t>
  </si>
  <si>
    <t xml:space="preserve">"mortality" (default): slow onset scores HIGH, because it delays care-seeking (Echis, Daboia). "urgency": fast onset scores high.</t>
  </si>
  <si>
    <t xml:space="preserve">New in v3.3. Assigned from the v3.2 "Documented Bite Behavior" text using the scale on Settings. 9 species are unscored because their text described habitat, not temperament. Known gap: kraits bite sleeping people at night, which neither Encounter nor Bite propensity captures well.</t>
  </si>
  <si>
    <t xml:space="preserve">All four inputs are author estimates or category judgements, not measurements. Antivenom access measures whether a product exists regionally, not whether a victim reaches it in time (the Longbottom et al. 2018 travel-time layer would be the real fix). Compare rows with the same "Risk dimensions used".</t>
  </si>
  <si>
    <t xml:space="preserve">OUTCOME COLUMNS</t>
  </si>
  <si>
    <t xml:space="preserve">Why they are not score inputs</t>
  </si>
  <si>
    <t xml:space="preserve">Annual deaths and case-fatality rate are what the scores are trying to predict. Feeding them in would be circular. Use them to check whether the Human Risk order makes sense. Only 7 species carry a deaths figure and 2 a case-fatality rate; none is sourced yet (all Tier D, marked *). Figures from different countries are not comparable.</t>
  </si>
  <si>
    <t xml:space="preserve">Most valuable next addition</t>
  </si>
  <si>
    <t xml:space="preserve">Untreated case-fatality rates from clinical case series - the one human number that does not depend on mouse data.</t>
  </si>
  <si>
    <t xml:space="preserve">FLAGS AND GRADE (Scores)</t>
  </si>
  <si>
    <t xml:space="preserve">The worse of the LD50 tier and the yield tier behind the Venom Hazard.</t>
  </si>
  <si>
    <t xml:space="preserve">LD50 or yield sources differ by more than 1.5x (calculated from source rows marked Used or Alternative); LD50 route is not SC; an input is Tier D.</t>
  </si>
  <si>
    <t xml:space="preserve">SOURCE TIERS</t>
  </si>
  <si>
    <t xml:space="preserve">Tier A</t>
  </si>
  <si>
    <t xml:space="preserve">Named primary study in a peer-reviewed, PubMed-indexed journal, with route, vehicle, mouse strain and n stated  -&gt;  Gold standard. Use directly.</t>
  </si>
  <si>
    <t xml:space="preserve">Tier B</t>
  </si>
  <si>
    <t xml:space="preserve">toxinology.com species record, WHO/IPCS document, or a primary study reached via one, with route stated  -&gt;  Accept. Promote to A by pulling the cited paper.</t>
  </si>
  <si>
    <t xml:space="preserve">Tier C</t>
  </si>
  <si>
    <t xml:space="preserve">Ernst &amp; Zug (1996) or comparable secondary compilation. Traceable but aggregated; route/vehicle not restated  -&gt;  Usable for relative comparison only. Flag in any published ranking.</t>
  </si>
  <si>
    <t xml:space="preserve">Tier D</t>
  </si>
  <si>
    <t xml:space="preserve">Handler reference table, uncited aggregation, or a value that could not be independently verified  -&gt;  Placeholder. Must be replaced or asterisked before use.</t>
  </si>
  <si>
    <t xml:space="preserve">Tier F</t>
  </si>
  <si>
    <t xml:space="preserve">Wikipedia LD50 tables, "most venomous" rankings, video content  -&gt;  Not admissible. No values in this workbook are Tier F.</t>
  </si>
  <si>
    <t xml:space="preserve">OPEN ISSUES (carried forward)</t>
  </si>
  <si>
    <t xml:space="preserve">LD50 conflicts</t>
  </si>
  <si>
    <t xml:space="preserve">Held values disagree with Broad (1979) saline for Dendroaspis polylepis (0.05 vs 0.32), Crotalus adamanteus (1.2 vs 11.4), Ophiophagus hannah (0.9 vs 1.8) and Naja naja (0.45 vs 0.565). Naja melanoleuca 0.12 does not match its own stated compilation (0.225). Laticauda colubrina 0.40 vs merged 0.16. All visible as LD50 spread and Flags. Resolved 2026-09-29: Hydrophis schistosus now uses Broad (1979) 0.164; the untraced 0.02 is kept as Alternative.</t>
  </si>
  <si>
    <t xml:space="preserve">Tier A strictness</t>
  </si>
  <si>
    <t xml:space="preserve">The v3.2 log notes the 17 Broad-derived rows rest on two secondary reproductions, which strictly makes them Tier B until the paper itself is in hand. They are still graded A here pending your decision.</t>
  </si>
  <si>
    <t xml:space="preserve">Coverage</t>
  </si>
  <si>
    <t xml:space="preserve">Echis ocellatus and E. romani (most West African saw-scaled viper deaths) have no rows. Three Notechis taxa from Broad are folded into one row.</t>
  </si>
  <si>
    <t xml:space="preserve">Yield</t>
  </si>
  <si>
    <t xml:space="preserve">Most yields are Ernst &amp; Zug (1996) Tier C with an unstated statistic. Four yield conflicts (forest cobra, black mamba, neotropical rattlesnake, jararaca) are entered as Alternative rows.</t>
  </si>
  <si>
    <t xml:space="preserve">Legacy score</t>
  </si>
  <si>
    <t xml:space="preserve">The v3.2 "Legacy Venom Burden Score" (Max yield / (LD50 x 75)) is removed. A human-weight conversion cannot change a ranking, and mouse-to-human linear scaling is not supported. It remains in the v3.2 file.</t>
  </si>
  <si>
    <t xml:space="preserve">COMBINED SHEET</t>
  </si>
  <si>
    <t xml:space="preserve">What it is</t>
  </si>
  <si>
    <t xml:space="preserve">One row per species with the raw LD50 and yield max, Venom Hazard, the four Human Risk dimensions, Human Risk, and a Combined score. All values are pulled live from Species and Scores; nothing is typed here except the scientific name.</t>
  </si>
  <si>
    <t xml:space="preserve">Combined score</t>
  </si>
  <si>
    <t xml:space="preserve">Weighted mean of Venom Hazard and Human Risk (Settings B59:B60, default 50/50). Both are required, so a species showing "needs yield"/"needs LD50" or "insufficient data" on Scores has no Combined score (live count on QA Checks).</t>
  </si>
  <si>
    <t xml:space="preserve">Caveat</t>
  </si>
  <si>
    <t xml:space="preserve">This re-blends the two questions v3.3 separated. Use it for a single sort order, and always read it beside Venom Hazard and Human Risk - the combined number alone cannot say which one drove it.</t>
  </si>
  <si>
    <t xml:space="preserve">Also add the scientific name to column A of Combined and copy B:O down from the row above. QA Checks flags a Scores species missing from Combined.</t>
  </si>
  <si>
    <t xml:space="preserve">VENOM EFFECTS (Species V:AD)</t>
  </si>
  <si>
    <t xml:space="preserve">How to record</t>
  </si>
  <si>
    <t xml:space="preserve">One column per effect: Neurotoxic, Hemotoxic (any), Procoagulant, Anticoagulant, Hemorrhagic, Cytotoxic, Myotoxic, Cardiotoxic. Enter Y where the effect is documented; leave blank where it is not recorded - blank means unknown, not 'no'. Column F is calculated from these columns. Record the source in column AD.</t>
  </si>
  <si>
    <t xml:space="preserve">v3.2 bite behaviour text</t>
  </si>
  <si>
    <t xml:space="preserve">Bite propensity (v3.3)</t>
  </si>
  <si>
    <t xml:space="preserve">v3.2 onset text</t>
  </si>
  <si>
    <t xml:space="preserve">Onset level (v3.3)</t>
  </si>
  <si>
    <t xml:space="preserve">v3.2 antivenom text</t>
  </si>
  <si>
    <t xml:space="preserve">Antivenom access (v3.3)</t>
  </si>
  <si>
    <t xml:space="preserve">v3.2 annual deaths text</t>
  </si>
  <si>
    <t xml:space="preserve">Highly defensive; hisses loudly, strikes readily and repeatedly when threatened</t>
  </si>
  <si>
    <t xml:space="preserve">Moderate-Slow (hours-days)</t>
  </si>
  <si>
    <t xml:space="preserve">Widely available (India)</t>
  </si>
  <si>
    <t xml:space="preserve">~25,000 (India, ~43% of national total)</t>
  </si>
  <si>
    <t xml:space="preserve">Docile and reluctant to bite despite huge fangs/glands; relies on camouflage, moves slowly</t>
  </si>
  <si>
    <t xml:space="preserve">Slow (24-48+ hrs)</t>
  </si>
  <si>
    <t xml:space="preserve">Regional (SAIMR polyvalent)</t>
  </si>
  <si>
    <t xml:space="preserve">Not documented</t>
  </si>
  <si>
    <t xml:space="preserve">Alert and defensive if cornered, but generally tries to avoid confrontation first</t>
  </si>
  <si>
    <t xml:space="preserve">Widely available (Australia)</t>
  </si>
  <si>
    <t xml:space="preserve">Rare, not tracked</t>
  </si>
  <si>
    <t xml:space="preserve">Docile even when handled by fishermen; rarely bites</t>
  </si>
  <si>
    <t xml:space="preserve">Moderate (6-24 hrs)</t>
  </si>
  <si>
    <t xml:space="preserve">Not tracked</t>
  </si>
  <si>
    <t xml:space="preserve">Extremely shy and reclusive; avoids confrontation, remote habitat limits human encounters</t>
  </si>
  <si>
    <t xml:space="preserve">Fast (30min-a few hours)</t>
  </si>
  <si>
    <t xml:space="preserve">0 confirmed</t>
  </si>
  <si>
    <t xml:space="preserve">Relies on camouflage rather than fleeing; stays still when approached, frequently stepped on and strikes fast</t>
  </si>
  <si>
    <t xml:space="preserve">Africa's top killer by fatality count; no reliable continental total</t>
  </si>
  <si>
    <t xml:space="preserve">Highly defensive and fast when cornered; delivers rapid, repeated strikes; among the most aggressive African species when threatened</t>
  </si>
  <si>
    <t xml:space="preserve">Very Fast (30min-a few hours)</t>
  </si>
  <si>
    <t xml:space="preserve">Regionally significant; no reliable total</t>
  </si>
  <si>
    <t xml:space="preserve">Defensive; hoods, hisses, and strikes readily when threatened</t>
  </si>
  <si>
    <t xml:space="preserve">Fast (1-6 hrs)</t>
  </si>
  <si>
    <t xml:space="preserve">Not well documented</t>
  </si>
  <si>
    <t xml:space="preserve">Defensive, flattens neck/body and strikes when cornered</t>
  </si>
  <si>
    <t xml:space="preserve">Rare (Australia)</t>
  </si>
  <si>
    <t xml:space="preserve">Nervous and fast-moving; known to actively pursue a perceived threat rather than flee</t>
  </si>
  <si>
    <t xml:space="preserve">Fast (can be under an hour)</t>
  </si>
  <si>
    <t xml:space="preserve">~1-4/yr; leading cause of death in Australia</t>
  </si>
  <si>
    <t xml:space="preserve">Defensive; hoods and strikes when threatened</t>
  </si>
  <si>
    <t xml:space="preserve">Regionally significant in Iran</t>
  </si>
  <si>
    <t xml:space="preserve">Rattles as warning first, bites if provoked further</t>
  </si>
  <si>
    <t xml:space="preserve">Widely available (USA)</t>
  </si>
  <si>
    <t xml:space="preserve">Rare (USA)</t>
  </si>
  <si>
    <t xml:space="preserve">Defensive; can spit venom in addition to biting</t>
  </si>
  <si>
    <t xml:space="preserve">Regionally significant; not well quantified</t>
  </si>
  <si>
    <t xml:space="preserve">Stands ground, gives loud rattle warning before striking</t>
  </si>
  <si>
    <t xml:space="preserve">&lt;1/yr (USA)</t>
  </si>
  <si>
    <t xml:space="preserve">Defensive, will strike readily if disturbed</t>
  </si>
  <si>
    <t xml:space="preserve">Regional (Brazil)</t>
  </si>
  <si>
    <t xml:space="preserve">Generally rattles/warns before striking</t>
  </si>
  <si>
    <t xml:space="preserve">Significant in Brazil; not well quantified</t>
  </si>
  <si>
    <t xml:space="preserve">Generally avoids humans and retreats, but highly defensive near nest/eggs</t>
  </si>
  <si>
    <t xml:space="preserve">Low bite frequency; high mortality untreated</t>
  </si>
  <si>
    <t xml:space="preserve">Hoods and displays as a warning; bite often follows a visible threat display</t>
  </si>
  <si>
    <t xml:space="preserve">~15,000 (India)</t>
  </si>
  <si>
    <t xml:space="preserve">Extremely fast strike, minimal warning; bites repeatedly and persistently when threatened</t>
  </si>
  <si>
    <t xml:space="preserve">~5,000 (India); deadliest species globally by total bites</t>
  </si>
  <si>
    <t xml:space="preserve">Ambush predator; sidewinds away when possible rather than confronting</t>
  </si>
  <si>
    <t xml:space="preserve">Ambush predator; sits motionless and strikes reflexively if stepped on</t>
  </si>
  <si>
    <t xml:space="preserve">Rare</t>
  </si>
  <si>
    <t xml:space="preserve">Generally docile and reluctant to bite; sometimes tolerated near villages</t>
  </si>
  <si>
    <t xml:space="preserve">Rare; not well documented</t>
  </si>
  <si>
    <t xml:space="preserve">Notoriously irritable and quick to strike defensively</t>
  </si>
  <si>
    <t xml:space="preserve">Leading cause of snakebite in Central America; not well quantified</t>
  </si>
  <si>
    <t xml:space="preserve">Stands ground, rattles prominently before striking</t>
  </si>
  <si>
    <t xml:space="preserve">Rare; most common US rattlesnake bite</t>
  </si>
  <si>
    <t xml:space="preserve">Generally warns with rattle before striking</t>
  </si>
  <si>
    <t xml:space="preserve">Defensive and can be irritable when disturbed</t>
  </si>
  <si>
    <t xml:space="preserve">Regionally significant</t>
  </si>
  <si>
    <t xml:space="preserve">Docile and avoids confrontation by day; nocturnal bites often occur on sleeping people with no warning display, and are frequently painless</t>
  </si>
  <si>
    <t xml:space="preserve">Fast once symptomatic (hours), but often DIAGNOSED late</t>
  </si>
  <si>
    <t xml:space="preserve">~10,000 (India)</t>
  </si>
  <si>
    <t xml:space="preserve">Shy, well camouflaged, rattles as warning</t>
  </si>
  <si>
    <t xml:space="preserve">Very rare</t>
  </si>
  <si>
    <t xml:space="preserve">Generally shy, bites mainly if handled or stepped on</t>
  </si>
  <si>
    <t xml:space="preserve">Slow (days)</t>
  </si>
  <si>
    <t xml:space="preserve">Widely available (Europe)</t>
  </si>
  <si>
    <t xml:space="preserve">Very rare (Europe)</t>
  </si>
  <si>
    <t xml:space="preserve">Reluctant to bite; often rattles extensively as warning first</t>
  </si>
  <si>
    <t xml:space="preserve">Sluggish and generally docile</t>
  </si>
  <si>
    <t xml:space="preserve">Known for an irritable, defensive temperament</t>
  </si>
  <si>
    <t xml:space="preserve">Rear-fanged; must open mouth wide and chew to envenomate effectively. Extremely shy and reluctant to bite unless handled (the Karl Schmidt case involved careless handling)</t>
  </si>
  <si>
    <t xml:space="preserve">Very Slow (24-48+ hrs, famously delayed)</t>
  </si>
  <si>
    <t xml:space="preserve">Limited (SAIMR polyvalent)</t>
  </si>
  <si>
    <t xml:space="preserve">Extremely rare</t>
  </si>
  <si>
    <t xml:space="preserve">Generally shy, flees when possible</t>
  </si>
  <si>
    <t xml:space="preserve">Moderate (hours)</t>
  </si>
  <si>
    <t xml:space="preserve">Docile by day, only becomes defensive if disturbed at night</t>
  </si>
  <si>
    <t xml:space="preserve">Fast once symptomatic (hours)</t>
  </si>
  <si>
    <t xml:space="preserve">Defensive if disturbed</t>
  </si>
  <si>
    <t xml:space="preserve">Stands ground, gapes mouth (white interior) as a warning display before biting</t>
  </si>
  <si>
    <t xml:space="preserve">Defensive, quick to strike</t>
  </si>
  <si>
    <t xml:space="preserve">Significant bite counts; low deaths (good antivenom)</t>
  </si>
  <si>
    <t xml:space="preserve">Docile, rarely bites even when handled</t>
  </si>
  <si>
    <t xml:space="preserve">Generally docile</t>
  </si>
  <si>
    <t xml:space="preserve">Sluggish, but bites readily if touched or stepped on</t>
  </si>
  <si>
    <t xml:space="preserve">Significant regional bite counts</t>
  </si>
  <si>
    <t xml:space="preserve">Shy and reclusive; small fixed fangs make bite delivery harder</t>
  </si>
  <si>
    <t xml:space="preserve">Shy and secretive, rarely bites unless handled</t>
  </si>
  <si>
    <t xml:space="preserve">Limited (USA)</t>
  </si>
  <si>
    <t xml:space="preserve">Known for sudden, lunging strikes when disturbed</t>
  </si>
  <si>
    <t xml:space="preserve">Docile, rarely bites</t>
  </si>
  <si>
    <t xml:space="preserve">Shy, avoids confrontation, sidewinds away</t>
  </si>
  <si>
    <t xml:space="preserve">Docile, marine, rarely encountered</t>
  </si>
  <si>
    <t xml:space="preserve">Mild-mannered, low bite frequency</t>
  </si>
  <si>
    <t xml:space="preserve">Rarely fatal</t>
  </si>
  <si>
    <t xml:space="preserve">Ambush predator, sits motionless on foliage; strikes if directly disturbed</t>
  </si>
  <si>
    <t xml:space="preserve">Docile by day, defensive if disturbed, especially at night; often confused with the common krait under the shared nickname 'blue krait'</t>
  </si>
  <si>
    <t xml:space="preserve">60-70% fatal untreated; ~50% fatal even WITH antivenom</t>
  </si>
  <si>
    <t xml:space="preserve">Generally shy but can be defensive; one of the largest true cobras</t>
  </si>
  <si>
    <t xml:space="preserve">Arboreal, shy, avoids humans but defensive if cornered</t>
  </si>
  <si>
    <t xml:space="preserve">Spits venom readily; also known for feigning death (thanatosis) as a defense</t>
  </si>
  <si>
    <t xml:space="preserve">Rare; regionally notable</t>
  </si>
  <si>
    <t xml:space="preserve">Spits venom readily when threatened; defensive</t>
  </si>
  <si>
    <t xml:space="preserve">Cited as responsible for more African fatalities than most other single species combined</t>
  </si>
  <si>
    <t xml:space="preserve">Generally not aggressive, relatively inaccurate strikes</t>
  </si>
  <si>
    <t xml:space="preserve">Small, shy, soft rattle often inaudible</t>
  </si>
  <si>
    <t xml:space="preserve">Relies on camouflage and freezing rather than fleeing, a major reason it's the most frequently reported US snakebite</t>
  </si>
  <si>
    <t xml:space="preserve">Very rare despite being the most common US snakebite</t>
  </si>
  <si>
    <t xml:space="preserve">Generally mild-tempered for a rattlesnake; rattles as warning</t>
  </si>
  <si>
    <t xml:space="preserve">Small, shy, well-camouflaged</t>
  </si>
  <si>
    <t xml:space="preserve">Nocturnal ambush predator; the largest pit viper in the world</t>
  </si>
  <si>
    <t xml:space="preserve">Regional (limited)</t>
  </si>
  <si>
    <t xml:space="preserve">Regionally significant despite remote habitat, due to enormous size/yield</t>
  </si>
  <si>
    <t xml:space="preserve">Docile, curious but rarely aggressive</t>
  </si>
  <si>
    <t xml:space="preserve">Arboreal ambush predator, common in agricultural/plantation areas</t>
  </si>
  <si>
    <t xml:space="preserve">Common cause of bites in SE Asia, rarely fatal</t>
  </si>
  <si>
    <t xml:space="preserve">Regional (Japan)</t>
  </si>
  <si>
    <t xml:space="preserve">Historically significant cause of snakebite deaths in Japan</t>
  </si>
  <si>
    <t xml:space="preserve">Highly strung but not very aggressive</t>
  </si>
  <si>
    <t xml:space="preserve">Rare; limited range</t>
  </si>
  <si>
    <t xml:space="preserve">Less aggressive than eastern brown snake; active by day</t>
  </si>
  <si>
    <t xml:space="preserve">Nervous and aggressive if cornered</t>
  </si>
  <si>
    <t xml:space="preserve">Nervous, lives in trees; described as prone to attack if disturbed</t>
  </si>
  <si>
    <t xml:space="preserve">Rare; arboreal, less encountered</t>
  </si>
  <si>
    <t xml:space="preserve">Generally avoids contact; hisses/whistles when provoked. Also called spotted black snake</t>
  </si>
  <si>
    <t xml:space="preserve">Rare; tries to avoid contact</t>
  </si>
  <si>
    <t xml:space="preserve">Fairly placid and reluctant to bite, but if provoked, bites and chews repeatedly, injecting the largest venom yield of any Australian elapid</t>
  </si>
  <si>
    <t xml:space="preserve">Notable despite lower per-mg toxicity, due to enormous venom yield</t>
  </si>
  <si>
    <t xml:space="preserve">Hunts by day; temperament not well documented</t>
  </si>
  <si>
    <t xml:space="preserve">Defensive; hoods and hisses</t>
  </si>
  <si>
    <t xml:space="preserve">Regional (Taiwan/China)</t>
  </si>
  <si>
    <t xml:space="preserve">87 deaths of 593 recorded envenomations in Taiwan, 1904-1938 (~15% mortality)</t>
  </si>
  <si>
    <t xml:space="preserve">Diurnal, bold, sometimes enters buildings and homes, increasing bite risk</t>
  </si>
  <si>
    <t xml:space="preserve">Widely regarded as Africa's most dangerous cobra; frequently enters homes</t>
  </si>
  <si>
    <t xml:space="preserve">Defensive, hoods prominently displaying a distinctive 'O' mark</t>
  </si>
  <si>
    <t xml:space="preserve">Significant regional snakebite cause</t>
  </si>
  <si>
    <t xml:space="preserve">Arboreal, shy</t>
  </si>
  <si>
    <t xml:space="preserve">Virtually unknown behaviorally - only a handful of specimens ever documented since its 2007 discovery</t>
  </si>
  <si>
    <t xml:space="preserve">Unknown</t>
  </si>
  <si>
    <t xml:space="preserve">Unclear - may respond to standard taipan antivenom, not confirmed</t>
  </si>
  <si>
    <t xml:space="preserve">None recorded</t>
  </si>
  <si>
    <t xml:space="preserve">Described by multiple field observers as shy and timid despite extreme toxicity; nocturnal, defensive if disturbed at night; shares the painless, easily-missed bite risk of other kraits</t>
  </si>
  <si>
    <t xml:space="preserve">Fast once symptomatic (hours), but often diagnosed late</t>
  </si>
  <si>
    <t xml:space="preserve">Historically significant in Taiwan/China</t>
  </si>
  <si>
    <t xml:space="preserve">Despite a reputation (now considered overstated/disputed) as one of the most toxic snakes ever measured, it is docile, non-aggressive, and very rarely bites</t>
  </si>
  <si>
    <t xml:space="preserve">Moderate (hours) if envenomed</t>
  </si>
  <si>
    <t xml:space="preserve">Not tracked despite extremely high measured toxicity, due to rarity of bites</t>
  </si>
  <si>
    <t xml:space="preserve">Rear-fanged, arboreal, camouflaged to resemble a twig or vine; extremely reluctant to bite, similar temperament to the boomslang</t>
  </si>
  <si>
    <t xml:space="preserve">Very Slow (24-48+ hrs, similar to boomslang)</t>
  </si>
  <si>
    <t xml:space="preserve">Very limited (no widely available specific antivenom, same issue as boomslang)</t>
  </si>
  <si>
    <t xml:space="preserve">Rare but historically fatal</t>
  </si>
  <si>
    <t xml:space="preserve">Defensive; responsible for a high volume of bites in agricultural and forest areas of the Amazon</t>
  </si>
  <si>
    <t xml:space="preserve">Regional (South America)</t>
  </si>
  <si>
    <t xml:space="preserve">Major cause of snakebite in the Amazon region</t>
  </si>
  <si>
    <t xml:space="preserve">Defensive; found in mountainous and agricultural areas</t>
  </si>
  <si>
    <t xml:space="preserve">Regional (China/Taiwan)</t>
  </si>
  <si>
    <t xml:space="preserve">Historically significant cause of snakebite deaths in China</t>
  </si>
  <si>
    <t xml:space="preserve">Shy, secretive, rarely bites unless handled</t>
  </si>
  <si>
    <t xml:space="preserve">Can be delayed</t>
  </si>
  <si>
    <t xml:space="preserve">Rare; small fixed fangs limit envenomation</t>
  </si>
  <si>
    <t xml:space="preserve">Docile, amphibious, comes ashore to lay eggs and digest</t>
  </si>
  <si>
    <t xml:space="preserve">Considered the most dangerous viper in Europe by reputation, though fatalities are rare with treatment</t>
  </si>
  <si>
    <t xml:space="preserve">Semi-aquatic, found in or near water; poorly studied, behavior not well documented</t>
  </si>
  <si>
    <t xml:space="preserve">Regional (SAIMR polyvalent, limited data on efficacy)</t>
  </si>
  <si>
    <t xml:space="preserve">Master of camouflage, relies on blending into rocky terrain rather than fleeing</t>
  </si>
  <si>
    <t xml:space="preserve">Date</t>
  </si>
  <si>
    <t xml:space="preserve">Version</t>
  </si>
  <si>
    <t xml:space="preserve">Action</t>
  </si>
  <si>
    <t xml:space="preserve">Field</t>
  </si>
  <si>
    <t xml:space="preserve">Old value</t>
  </si>
  <si>
    <t xml:space="preserve">New value</t>
  </si>
  <si>
    <t xml:space="preserve">Reason</t>
  </si>
  <si>
    <t xml:space="preserve">2026-09-28</t>
  </si>
  <si>
    <t xml:space="preserve">v2-v3.2</t>
  </si>
  <si>
    <t xml:space="preserve">LD50 corrected</t>
  </si>
  <si>
    <t xml:space="preserve">SC value from named primary study; prior value appears rounded</t>
  </si>
  <si>
    <t xml:space="preserve">Broad, Sutherland &amp; Coulter (1979) via IPCS INCHEM PIM 394</t>
  </si>
  <si>
    <t xml:space="preserve">Yield corrected</t>
  </si>
  <si>
    <t xml:space="preserve">Max Yield (mg)</t>
  </si>
  <si>
    <t xml:space="preserve">Max yield not supported by IPCS source</t>
  </si>
  <si>
    <t xml:space="preserve">Merged</t>
  </si>
  <si>
    <t xml:space="preserve">entire row</t>
  </si>
  <si>
    <t xml:space="preserve">row 83 'Sea krait' (LD50 0.16)</t>
  </si>
  <si>
    <t xml:space="preserve">merged into row 88 'Yellow-lipped sea krait'</t>
  </si>
  <si>
    <t xml:space="preserve">Same species: Laticauda colubrina</t>
  </si>
  <si>
    <t xml:space="preserve">US FWS / Reptile Database — Banded sea krait = Yellow-lipped sea krait</t>
  </si>
  <si>
    <t xml:space="preserve">Confirmed</t>
  </si>
  <si>
    <t xml:space="preserve">2.38</t>
  </si>
  <si>
    <t xml:space="preserve">2.38 (unchanged)</t>
  </si>
  <si>
    <t xml:space="preserve">Follow-up source cited 1.91; IPCS INCHEM confirms 2.38 SC. Original value stands.</t>
  </si>
  <si>
    <t xml:space="preserve">IPCS INCHEM PIM 449</t>
  </si>
  <si>
    <t xml:space="preserve">0.66</t>
  </si>
  <si>
    <t xml:space="preserve">0.66 (unchanged)</t>
  </si>
  <si>
    <t xml:space="preserve">Now traced to a named primary study (Broad et al. 1979), SC route confirmed.</t>
  </si>
  <si>
    <t xml:space="preserve">IPCS INCHEM PIM 450</t>
  </si>
  <si>
    <t xml:space="preserve">Gap closed</t>
  </si>
  <si>
    <t xml:space="preserve">listed as missing</t>
  </si>
  <si>
    <t xml:space="preserve">already present</t>
  </si>
  <si>
    <t xml:space="preserve">'Sharp-nosed viper' on the not-yet-added list is this species, already in the table as 'Hundred-pace pit viper'.</t>
  </si>
  <si>
    <t xml:space="preserve">Reptile Database synonymy</t>
  </si>
  <si>
    <t xml:space="preserve">Conflict flagged</t>
  </si>
  <si>
    <t xml:space="preserve">0.02 (retained)</t>
  </si>
  <si>
    <t xml:space="preserve">Broad et al. (1979) reports 0.164 SC — 8.2x divergence. Not an Australian elapid, so the 1979 CSL figure is not automatically preferred.</t>
  </si>
  <si>
    <t xml:space="preserve">Broad, Sutherland &amp; Coulter (1979) Toxicon 17:661-664</t>
  </si>
  <si>
    <t xml:space="preserve">0.05 (retained)</t>
  </si>
  <si>
    <t xml:space="preserve">Broad et al. (1979) reports 0.32 SC — 6.4x divergence. Not an Australian elapid, so the 1979 CSL figure is not automatically preferred.</t>
  </si>
  <si>
    <t xml:space="preserve">1.2 (retained)</t>
  </si>
  <si>
    <t xml:space="preserve">Broad et al. (1979) reports 11.4 SC — 9.5x divergence. Not an Australian elapid, so the 1979 CSL figure is not automatically preferred.</t>
  </si>
  <si>
    <t xml:space="preserve">0.9 (retained)</t>
  </si>
  <si>
    <t xml:space="preserve">Broad et al. (1979) reports 1.8 SC — 2.0x divergence. Not an Australian elapid, so the 1979 CSL figure is not automatically preferred.</t>
  </si>
  <si>
    <t xml:space="preserve">0.45 (retained)</t>
  </si>
  <si>
    <t xml:space="preserve">Broad et al. (1979) reports 0.565 SC — 1.3x divergence. Not an Australian elapid, so the 1979 CSL figure is not automatically preferred.</t>
  </si>
  <si>
    <t xml:space="preserve">Primary source value adopted. Prior figure diverged 1.5x from the named study.</t>
  </si>
  <si>
    <t xml:space="preserve">Primary source value adopted. Prior figure diverged 5.0x from the named study.</t>
  </si>
  <si>
    <t xml:space="preserve">Primary source value adopted. Prior figure diverged 3.6x from the named study.</t>
  </si>
  <si>
    <t xml:space="preserve">Species added</t>
  </si>
  <si>
    <t xml:space="preserve">—</t>
  </si>
  <si>
    <t xml:space="preserve">LD50 1.09 SC</t>
  </si>
  <si>
    <t xml:space="preserve">Coverage gap: in the primary source but missing here.</t>
  </si>
  <si>
    <t xml:space="preserve">LD50 1.36 SC</t>
  </si>
  <si>
    <t xml:space="preserve">LD50 2.67 SC</t>
  </si>
  <si>
    <t xml:space="preserve">LD50 714.2 SC</t>
  </si>
  <si>
    <t xml:space="preserve">CONFLICT CLOSED</t>
  </si>
  <si>
    <t xml:space="preserve">2.38 vs 1.91 disputed</t>
  </si>
  <si>
    <t xml:space="preserve">2.38 (saline) / 1.91 (BSA) — both correct</t>
  </si>
  <si>
    <t xml:space="preserve">Not a disagreement. Broad et al. report two values per species: saline vehicle and saline+bovine serum albumin. 2.38 is the saline figure, 1.91 the BSA figure. The conflict was a vehicle difference.</t>
  </si>
  <si>
    <t xml:space="preserve">2.13 vs 0.52 disputed</t>
  </si>
  <si>
    <t xml:space="preserve">2.13 (saline) / 1.53 (BSA)</t>
  </si>
  <si>
    <t xml:space="preserve">Broad et al. give 2.13 saline / 1.53 BSA. The 2.13 held here is the correct saline figure, now Tier A. The 0.52 matches neither and is not supported by the primary source.</t>
  </si>
  <si>
    <t xml:space="preserve">BUG FIXED</t>
  </si>
  <si>
    <t xml:space="preserve">(model-wide)</t>
  </si>
  <si>
    <t xml:space="preserve">Severity Score formula</t>
  </si>
  <si>
    <t xml:space="preserve">INDEX over a blank ordinal returned 0 -&gt; score of -25</t>
  </si>
  <si>
    <t xml:space="preserve">blank ordinal now returns "" and the dimension is dropped</t>
  </si>
  <si>
    <t xml:space="preserve">'Unknown' sits in the severity map at A40 with no ordinal. MATCH succeeded, INDEX returned blank, arithmetic read it as 0, and 100*(0-1)/4 gave -25 on a 0-100 scale. IFERROR could not catch it because it is not an error. Live on Oxyuranus temporalis, which was scoring -25 for Severity and carrying it into its composite. Same guard applied to Treatability.</t>
  </si>
  <si>
    <t xml:space="preserve">Internal audit</t>
  </si>
  <si>
    <t xml:space="preserve">BUG CLASS SWEPT</t>
  </si>
  <si>
    <t xml:space="preserve">QA Checks sheet</t>
  </si>
  <si>
    <t xml:space="preserve">no systematic check</t>
  </si>
  <si>
    <t xml:space="preserve">13 live checks</t>
  </si>
  <si>
    <t xml:space="preserve">The fix above patches one instance. The QA sheet targets the class: negative or &gt;100 dimension scores, blank ordinals in either map, unmapped lookup text, duplicate keys, inverted yield pairs, non-positive LD50.</t>
  </si>
  <si>
    <t xml:space="preserve">STRUCTURAL FIX</t>
  </si>
  <si>
    <t xml:space="preserve">Potency normalisation</t>
  </si>
  <si>
    <t xml:space="preserve">anchored on raw MIN and MAX of the LD50 column</t>
  </si>
  <si>
    <t xml:space="preserve">anchored on trimmed percentiles, scores clamped 0-100</t>
  </si>
  <si>
    <t xml:space="preserve">Both anchors were the two least reliable numbers in the table: the minimum 0.02 (Hydrophis schistosus, unsupported and disputed 5-8x) and the maximum 714.2 (Demansia olivacea, a ceiling reading, and itself excluded from the composite as insufficient-data). A row excluded from the output was setting the scale for all 94. Raw span 4.55 decades vs 2.74 without the outlier; median Potency was 71.4 with an IQR of 60.9-81.4, i.e. most species crushed into the top third.</t>
  </si>
  <si>
    <t xml:space="preserve">COLUMN SEMANTICS FIXED</t>
  </si>
  <si>
    <t xml:space="preserve">Hydrophis schistosus, Crotalus adamanteus, Ophiophagus hannah, Naja naja</t>
  </si>
  <si>
    <t xml:space="preserve">LD50 BSA vehicle column</t>
  </si>
  <si>
    <t xml:space="preserve">held one Broad BSA figure beside a non-Broad saline figure</t>
  </si>
  <si>
    <t xml:space="preserve">Broad saline moved into its own column (AH); BSA column renamed</t>
  </si>
  <si>
    <t xml:space="preserve">For Australian rows, columns E and G were a matched saline/BSA pair from one study. For these four they were not: E came from other literature and G from Broad. Any row-wise comparison of the two was meaningless, and the Broad saline figures existed only as prose in the notes, so they could not be sorted, filtered or checked. Both figures are now data, with a live ratio column.</t>
  </si>
  <si>
    <t xml:space="preserve">CONFIRMED — not an error</t>
  </si>
  <si>
    <t xml:space="preserve">Pseudechis papuanus / Tropidechis carinatus</t>
  </si>
  <si>
    <t xml:space="preserve">LD50 + BSA</t>
  </si>
  <si>
    <t xml:space="preserve">1.09/1.36 and 1.36/1.09</t>
  </si>
  <si>
    <t xml:space="preserve">unchanged</t>
  </si>
  <si>
    <t xml:space="preserve">Flagged internally as a probable transposition: an exact mirrored pair is a classic data-entry swap, and both rows also break the usual BSA&lt;saline direction. Checked against the source table and the mirror is genuine. My suspicion was wrong; the values stand.</t>
  </si>
  <si>
    <t xml:space="preserve">PREMISE CORRECTED</t>
  </si>
  <si>
    <t xml:space="preserve">(four yield conflicts)</t>
  </si>
  <si>
    <t xml:space="preserve">Yield conflict diagnosis</t>
  </si>
  <si>
    <t xml:space="preserve">"all four competing figures run HIGHER — signature of dry vs wet mass"</t>
  </si>
  <si>
    <t xml:space="preserve">three run higher, one runs lower — no single cause</t>
  </si>
  <si>
    <t xml:space="preserve">The handover note says all four newer figures run higher and infers a dry-vs-wet mass difference. This sheet's own record contradicts that: forest cobra is 500-1102 held vs 180-300 (max 500) newer, i.e. LOWER. With the direction inconsistent, the one-cause inference does not hold, and the causes differ per species: forest cobra is a statistic mismatch plus a 2018 taxonomic split; black mamba is the held value being low, not the newer one being high.</t>
  </si>
  <si>
    <t xml:space="preserve">Internal audit against this workbook’s own Notes sheet</t>
  </si>
  <si>
    <t xml:space="preserve">YIELD CORRECTED</t>
  </si>
  <si>
    <t xml:space="preserve">Yield Low / Typical (mg)</t>
  </si>
  <si>
    <t xml:space="preserve">The 500 floor was an unsourced hobbyist-compilation figure presented as a range minimum. Replaced with the mean from a named milking study (571 mg, n=59, dry); 1102 is that study’s maximum, so the pair now comes from one source with the statistic stated.</t>
  </si>
  <si>
    <t xml:space="preserve">Mirtschin et al. (2006) Ecotoxicology 15:531-538</t>
  </si>
  <si>
    <t xml:space="preserve">PROVENANCE ADDED</t>
  </si>
  <si>
    <t xml:space="preserve">(all yielded rows)</t>
  </si>
  <si>
    <t xml:space="preserve">Yield Statistic / Yield n</t>
  </si>
  <si>
    <t xml:space="preserve">yields carried no statistic</t>
  </si>
  <si>
    <t xml:space="preserve">statistic and n recorded where known, "unstated" elsewhere</t>
  </si>
  <si>
    <t xml:space="preserve">Min/Max Yield forced every source into a two-number shape regardless of what it actually reported — a range across specimens, a mean of n milkings, or a single record. That is the same defect the LD50 vehicle work already fixed, in the yield column. Rows now say which.</t>
  </si>
  <si>
    <t xml:space="preserve">CONFLICT ESCALATED</t>
  </si>
  <si>
    <t xml:space="preserve">0.05 (retained, flagged)</t>
  </si>
  <si>
    <t xml:space="preserve">0.05 (retained, now flagged unsupported)</t>
  </si>
  <si>
    <t xml:space="preserve">Broad gives 0.32 SC saline; two further citations give 0.32-0.33 IV. Nothing reachable supports 0.05. This is no longer a two-source disagreement — it is a held value with no located provenance. Recommend replacement once a primary citation is in hand.</t>
  </si>
  <si>
    <t xml:space="preserve">Broad (1979); murine IV figures cited in secondary literature</t>
  </si>
  <si>
    <t xml:space="preserve">0.02 (retained, flagged)</t>
  </si>
  <si>
    <t xml:space="preserve">0.02 (retained, flagged PRIORITY)</t>
  </si>
  <si>
    <t xml:space="preserve">A third figure surfaced: 0.1125 mg/kg, route unstated. Two independent figures now cluster at 0.11-0.17 against the held 0.02. Also noted: a widely-read secondary table reproduces Broad’s two columns for this species with saline and BSA swapped, which is probably how the confusion propagates.</t>
  </si>
  <si>
    <t xml:space="preserve">Broad (1979); third figure route unstated — needs primary</t>
  </si>
  <si>
    <t xml:space="preserve">INCONSISTENCY FOUND</t>
  </si>
  <si>
    <t xml:space="preserve">0.12 (retained, flagged)</t>
  </si>
  <si>
    <t xml:space="preserve">The sheet attributes most LD50s to Ernst &amp; Zug (1996). That compilation is cited elsewhere as 0.225 mg/kg SC for this species. The held 0.12 does not match its own stated source and should be re-checked against the compilation directly.</t>
  </si>
  <si>
    <t xml:space="preserve">COVERAGE GAP</t>
  </si>
  <si>
    <t xml:space="preserve">Echis ocellatus / Echis romani</t>
  </si>
  <si>
    <t xml:space="preserve">absent</t>
  </si>
  <si>
    <t xml:space="preserve">still absent — flagged</t>
  </si>
  <si>
    <t xml:space="preserve">The Echis complex is split. E. ocellatus and E. romani drive most West African saw-scaled viper mortality and are not in this table at all. The immediate task is to make the model track real-world mortality; it cannot rank saw-scaled vipers properly while the deadliest members of the complex are missing rows.</t>
  </si>
  <si>
    <t xml:space="preserve">Taxonomic literature; WHO medically-important species lists</t>
  </si>
  <si>
    <t xml:space="preserve">Notechis (3 subspecies)</t>
  </si>
  <si>
    <t xml:space="preserve">Broad reports four tiger-snake taxa spanning 2.9x. Only N. scutatus is a row here.</t>
  </si>
  <si>
    <t xml:space="preserve">Broad, Sutherland &amp; Coulter (1979)</t>
  </si>
  <si>
    <t xml:space="preserve">TIER UNCHANGED</t>
  </si>
  <si>
    <t xml:space="preserve">(17 Tier A rows)</t>
  </si>
  <si>
    <t xml:space="preserve">LD50 Source Tier</t>
  </si>
  <si>
    <t xml:space="preserve">A (on a secondary reproduction)</t>
  </si>
  <si>
    <t xml:space="preserve">A (unchanged) — see note</t>
  </si>
  <si>
    <t xml:space="preserve">The Australian block was checked against a second, independent secondary reproduction of the Broad table and agreed on every value, including the four subspecies figures. That makes a transcription error very unlikely, but it does not promote the tier: two secondary reproductions are still not the paper. Strictly these remain Tier B until the PDF is in hand.</t>
  </si>
  <si>
    <t xml:space="preserve">Second independent reproduction of Broad et al. (1979)</t>
  </si>
  <si>
    <t xml:space="preserve">DEFECT FOUND</t>
  </si>
  <si>
    <t xml:space="preserve">Ordinal scaling</t>
  </si>
  <si>
    <t xml:space="preserve">lowest ordinal category mapped to exactly 0</t>
  </si>
  <si>
    <t xml:space="preserve">floor/ceiling now editable, default 10/90</t>
  </si>
  <si>
    <t xml:space="preserve">Raised from one observed instance (Echis carinatus scoring 0 on both Severity and Treatability). It is not one instance: 74 dimension cells sat at exactly 0 across 57 of the 90 scored rows — 27 on Severity, 33 on Treatability, 11 on Encounter. Cause is the transform 100*(ordinal-1)/4, which pins the bottom category to zero. That asserts "slow onset" and "antivenom widely available" contribute nothing at all to danger — a claim made by a scaling choice, not by evidence. Now 3 cells.</t>
  </si>
  <si>
    <t xml:space="preserve">DIAGNOSIS — rescaling is NOT the fix</t>
  </si>
  <si>
    <t xml:space="preserve">Severity / Treatability</t>
  </si>
  <si>
    <t xml:space="preserve">rank 21</t>
  </si>
  <si>
    <t xml:space="preserve">rank 22 under the floor fix alone</t>
  </si>
  <si>
    <t xml:space="preserve">Tested before implementing. Raising the ordinal floor from 0 to 10 moved the saw-scaled viper DOWN one place, because lifting the floor lifts every row that had zeros while simultaneously capping its maxed-out Encounter score from 100 to 90. The zeros are a symptom. The arithmetic was never what was holding it down.</t>
  </si>
  <si>
    <t xml:space="preserve">ROOT CAUSE CONFIRMED</t>
  </si>
  <si>
    <t xml:space="preserve">Severity dimension</t>
  </si>
  <si>
    <t xml:space="preserve">onset speed used as urgency (fast = dangerous)</t>
  </si>
  <si>
    <t xml:space="preserve">direction now switchable; default "mortality"</t>
  </si>
  <si>
    <t xml:space="preserve">The handover diagnosis #1 is correct and is the whole story. Echis scored 0 on Severity BECAUSE the dimension measures speed, and 0 on Treatability BECAUSE the dimension measures existence of a product. Those two facts are precisely why it kills: slow onset delays care-seeking, and an antivenom existing in India is not an antivenom reaching a rural bite victim. The zeros were the model correctly reporting that its own definitions were inverted.</t>
  </si>
  <si>
    <t xml:space="preserve">DEFINITIONAL FIX</t>
  </si>
  <si>
    <t xml:space="preserve">Severity direction</t>
  </si>
  <si>
    <t xml:space="preserve">fast onset scores high</t>
  </si>
  <si>
    <t xml:space="preserve">slow onset scores high (cell B67, switchable)</t>
  </si>
  <si>
    <t xml:space="preserve">Single definitional change, NO weight tuning — weights remain 25/25/25/15/10 exactly as before. Result: top three become Daboia russelii (78.9), Bitis arietans (76.1), Echis carinatus (70.5). Inland taipan falls to 59th, eastern brown to 10th. The standing instruction not to tune until the saw-scaled viper rises is satisfied without any tuning having occurred.</t>
  </si>
  <si>
    <t xml:space="preserve">SELF-CORRECTION</t>
  </si>
  <si>
    <t xml:space="preserve">(prior analysis)</t>
  </si>
  <si>
    <t xml:space="preserve">"53 rows would score higher by deleting their own data"</t>
  </si>
  <si>
    <t xml:space="preserve">overstated</t>
  </si>
  <si>
    <t xml:space="preserve">withdrawn as a distinct defect</t>
  </si>
  <si>
    <t xml:space="preserve">I raised this as a defect in the v3.1 write-up. On testing it is a generic property of any weighted mean — deleting a below-average value always raises the mean — and no floor or imputation scheme removes it (tested: column-median imputation cuts it from +10.0 to +7.2 mean points, midpoint floor to +7.8, both together to +5.6, never to zero). It is a reason to compare only rows with equal Dimensions Available, not a bug to fix. My framing was wrong.</t>
  </si>
  <si>
    <t xml:space="preserve">NOT CHANGED</t>
  </si>
  <si>
    <t xml:space="preserve">Treatability dimension</t>
  </si>
  <si>
    <t xml:space="preserve">antivenom availability</t>
  </si>
  <si>
    <t xml:space="preserve">unchanged — deliberately</t>
  </si>
  <si>
    <t xml:space="preserve">Not inverted, because inverting it would be as wrong as leaving it. The dimension needs replacing with an access measure (travel time to a facility holding stock), not flipping. Longbottom et al. (2018) carries that layer. Until then it stays as-is and flagged.</t>
  </si>
  <si>
    <t xml:space="preserve">DOCUMENTATION DRIFT FIXED</t>
  </si>
  <si>
    <t xml:space="preserve">(Ranking Model sheet)</t>
  </si>
  <si>
    <t xml:space="preserve">C7:D11 descriptions</t>
  </si>
  <si>
    <t xml:space="preserve">described the pre-v3.1 model</t>
  </si>
  <si>
    <t xml:space="preserve">rewritten to match current formulas</t>
  </si>
  <si>
    <t xml:space="preserve">User-reported. Behaviour was changed in three places (trimmed LD50 anchors, ordinal floor/ceiling, severity direction switch) while the sheet’s own "What it measures" and "Source of the underlying data" text still described the original model. D7 still quoted the raw 0.02-714 range as the potency scale; C10 still described Severity as how fast envenoming progresses; D9/D10/D11 made no mention of the floor/ceiling. All rewritten.</t>
  </si>
  <si>
    <t xml:space="preserve">SELF-DOCUMENTING COLUMNS ADDED</t>
  </si>
  <si>
    <t xml:space="preserve">columns E-G of the weights block</t>
  </si>
  <si>
    <t xml:space="preserve">prose only</t>
  </si>
  <si>
    <t xml:space="preserve">live Scale/Swing/Share computed from the score columns</t>
  </si>
  <si>
    <t xml:space="preserve">Prose describing a formula rots the moment the formula changes, which is what just happened. Columns E-G read the actual score columns, so they restate the model from the model itself and cannot go stale.</t>
  </si>
  <si>
    <t xml:space="preserve">FINDING — nominal weight is not influence</t>
  </si>
  <si>
    <t xml:space="preserve">Treatability</t>
  </si>
  <si>
    <t xml:space="preserve">weight 10</t>
  </si>
  <si>
    <t xml:space="preserve">effective share ~7%</t>
  </si>
  <si>
    <t xml:space="preserve">Surfaced by the new columns. Ordinal 5 ("None") is used by no row - no species here is recorded as having no antivenom - so the top of the scale is unreachable and the real span is 10-70, not 10-90. 71 of 90 rows sit in ordinals 1-2. This is handover diagnosis #2 quantified: the dimension barely discriminates because antivenom EXISTENCE barely varies. It was already under-delivering before v3.2 (8% under the edge mapping).</t>
  </si>
  <si>
    <t xml:space="preserve">SIDE EFFECT DISCLOSED</t>
  </si>
  <si>
    <t xml:space="preserve">effective dimension shares</t>
  </si>
  <si>
    <t xml:space="preserve">Pot+Qty 52% effective</t>
  </si>
  <si>
    <t xml:space="preserve">Pot+Qty 56% effective</t>
  </si>
  <si>
    <t xml:space="preserve">My v3.2 floor change narrowed the ordinal dimensions from a 100-point span to 80 while leaving Potency and Quantity at 100, which shifted effective influence toward the two continuous dimensions even though no weight was edited. Declared weights are unchanged at 25/25/25/15/10. Disclosing it because it is a real consequence of my change that the weights column does not show; columns E-G now do.</t>
  </si>
  <si>
    <t xml:space="preserve">v3.3</t>
  </si>
  <si>
    <t xml:space="preserve">RESTRUCTURE</t>
  </si>
  <si>
    <t xml:space="preserve">(workbook)</t>
  </si>
  <si>
    <t xml:space="preserve">Workbook layout</t>
  </si>
  <si>
    <t xml:space="preserve">38-column data sheet; 7 sheets</t>
  </si>
  <si>
    <t xml:space="preserve">Species (21 columns) + LD50 / Yield / Clinical Sources (one row per measurement) + Scores + Settings</t>
  </si>
  <si>
    <t xml:space="preserve">A second measurement of the same quantity had been getting its own sparse column (Broad saline 22/94 filled, BSA 17/94, yield n 1/94). Measurements now live in source sheets; Species shows the value used plus calculated spreads, so conflicts appear automatically instead of being typed.</t>
  </si>
  <si>
    <t xml:space="preserve">Internal restructure</t>
  </si>
  <si>
    <t xml:space="preserve">SCORE SPLIT</t>
  </si>
  <si>
    <t xml:space="preserve">WEIGHTED COMPOSITE</t>
  </si>
  <si>
    <t xml:space="preserve">one 5-dimension composite (25/25/25/15/10)</t>
  </si>
  <si>
    <t xml:space="preserve">Venom Hazard (Potency 50, Quantity 50) + Human Risk (Encounter 25, Bite propensity 15, Onset 15, Access 10)</t>
  </si>
  <si>
    <t xml:space="preserve">User decision. Blending lab data with author estimates made scores unexplainable. Existing relative weights preserved within each score; Potency, Quantity, Encounter, Onset and Access dimension values are unchanged from v3.2.</t>
  </si>
  <si>
    <t xml:space="preserve">FIELD ADDED</t>
  </si>
  <si>
    <t xml:space="preserve">(85 species)</t>
  </si>
  <si>
    <t xml:space="preserve">Documented Bite Behavior (83 distinct free-text descriptions)</t>
  </si>
  <si>
    <t xml:space="preserve">1-5 score; 9 species unscored</t>
  </si>
  <si>
    <t xml:space="preserve">User decision: make bite behaviour a number. Assigned from the v3.2 text using the scale on Settings. Original text kept on Category Mapping.</t>
  </si>
  <si>
    <t xml:space="preserve">CONTROLLED LIST</t>
  </si>
  <si>
    <t xml:space="preserve">(90 species)</t>
  </si>
  <si>
    <t xml:space="preserve">18 phrasings incl. case variants</t>
  </si>
  <si>
    <t xml:space="preserve">5 levels</t>
  </si>
  <si>
    <t xml:space="preserve">Mapped using the v3.2 severity ordinals exactly, so Onset scores are unchanged. Qualifiers ("often diagnosed late", "if envenomed") moved to Notes.</t>
  </si>
  <si>
    <t xml:space="preserve">18 phrasings mixing level and country/product</t>
  </si>
  <si>
    <t xml:space="preserve">Mapped using the v3.2 treatability ordinals exactly. Country/product detail (e.g. SAIMR polyvalent) moved to Notes.</t>
  </si>
  <si>
    <t xml:space="preserve">ROUTE CORRECTED</t>
  </si>
  <si>
    <t xml:space="preserve">The row's own note stated the sourced values are intramuscular (IM 0.155-0.24, per Fry). Now flagged on Scores.</t>
  </si>
  <si>
    <t xml:space="preserve">The row's own note stated 0.225 is an IP figure (0.373 IV also reported; added as Other route row).</t>
  </si>
  <si>
    <t xml:space="preserve">FIELD SPLIT</t>
  </si>
  <si>
    <t xml:space="preserve">(70 rows)</t>
  </si>
  <si>
    <t xml:space="preserve">LD50 Route</t>
  </si>
  <si>
    <t xml:space="preserve">"SC (assumed)"</t>
  </si>
  <si>
    <t xml:space="preserve">Route = SC, Route basis = assumed</t>
  </si>
  <si>
    <t xml:space="preserve">Route column was carrying a confidence judgement; that belongs with the tier.</t>
  </si>
  <si>
    <t xml:space="preserve">STALE REFERENCES REMOVED</t>
  </si>
  <si>
    <t xml:space="preserve">Bothrops asper; Agkistrodon contortrix; Bothrops atrox; Laticauda colubrina</t>
  </si>
  <si>
    <t xml:space="preserve">Taxonomic Note</t>
  </si>
  <si>
    <t xml:space="preserve">row 85 / row 56 / row 23 / "DUPLICATE CANDIDATE: row 83"</t>
  </si>
  <si>
    <t xml:space="preserve">species names</t>
  </si>
  <si>
    <t xml:space="preserve">Row numbers break on sorting. "row 56" pointed to Naja nigricollis and "row 23" to Bitis nasicornis (both wrong); the duplicate note described a merge already completed.</t>
  </si>
  <si>
    <t xml:space="preserve">FIELD REMOVED</t>
  </si>
  <si>
    <t xml:space="preserve">(94 rows)</t>
  </si>
  <si>
    <t xml:space="preserve">Verification Status</t>
  </si>
  <si>
    <t xml:space="preserve">"unverified - Tier 4 structural check only" etc.</t>
  </si>
  <si>
    <t xml:space="preserve">replaced by LD50 tier + calculated LD50 spread</t>
  </si>
  <si>
    <t xml:space="preserve">Referred to a "Tier 4" that does not exist in the A-F scheme, and duplicated the tier and conflict columns.</t>
  </si>
  <si>
    <t xml:space="preserve">DATA MOVED</t>
  </si>
  <si>
    <t xml:space="preserve">(23 rows)</t>
  </si>
  <si>
    <t xml:space="preserve">Onset Notes</t>
  </si>
  <si>
    <t xml:space="preserve">LD50 and yield caveats inside the onset column</t>
  </si>
  <si>
    <t xml:space="preserve">Note column of the relevant LD50 / Yield Sources row</t>
  </si>
  <si>
    <t xml:space="preserve">Onset Notes had become a catch-all. Clinical descriptions stay in Species Notes.</t>
  </si>
  <si>
    <t xml:space="preserve">SOURCE ROWS ADDED</t>
  </si>
  <si>
    <t xml:space="preserve">H. schistosus; L. colubrina; N. melanoleuca; L. semifasciata; P. guttatus; D. polylepis; N. kaouthia</t>
  </si>
  <si>
    <t xml:space="preserve">figures held only as prose</t>
  </si>
  <si>
    <t xml:space="preserve">0.1125; 0.16; 0.225; 0.111 (Alternative) - 0.52 (Rejected) - 0.32 IV; 0.373 IV (Other route)</t>
  </si>
  <si>
    <t xml:space="preserve">Makes every documented figure sortable and feeds the spread calculation.</t>
  </si>
  <si>
    <t xml:space="preserve">N. melanoleuca; D. polylepis; C. durissus; B. jararaca; B. arietans; P. australis</t>
  </si>
  <si>
    <t xml:space="preserve">4 Alternative rows; puff adder wet study (Other basis); mulga 1350 max (Rejected)</t>
  </si>
  <si>
    <t xml:space="preserve">As above. Black mamba now shows a 4.0x yield spread.</t>
  </si>
  <si>
    <t xml:space="preserve">FIELD REPLACED</t>
  </si>
  <si>
    <t xml:space="preserve">(7 species)</t>
  </si>
  <si>
    <t xml:space="preserve">Documented Annual Deaths</t>
  </si>
  <si>
    <t xml:space="preserve">52 free-text phrasings, 7 containing a figure</t>
  </si>
  <si>
    <t xml:space="preserve">Clinical Sources rows (numeric low/high, scope, tier)</t>
  </si>
  <si>
    <t xml:space="preserve">Only the numeric figures were carried over, all Tier D (v3.2 recorded no source). Qualitative text ("Rare", "Not tracked") kept on Category Mapping.</t>
  </si>
  <si>
    <t xml:space="preserve">Bungarus candidus; Naja atra</t>
  </si>
  <si>
    <t xml:space="preserve">figures in free text</t>
  </si>
  <si>
    <t xml:space="preserve">60-70% untreated; 14.7% (Taiwan 1904-1938, treatment unclear)</t>
  </si>
  <si>
    <t xml:space="preserve">Seeded from the v3.2 deaths text. Tier D until sourced.</t>
  </si>
  <si>
    <t xml:space="preserve">Legacy Venom Burden Score; Avg Length (m)</t>
  </si>
  <si>
    <t xml:space="preserve">present</t>
  </si>
  <si>
    <t xml:space="preserve">removed (still in v3.2 file)</t>
  </si>
  <si>
    <t xml:space="preserve">Legacy score superseded (see Method). Avg Length was used by no formula.</t>
  </si>
  <si>
    <t xml:space="preserve">MISSING VALUES</t>
  </si>
  <si>
    <t xml:space="preserve">(17 rows)</t>
  </si>
  <si>
    <t xml:space="preserve">"Not documented" text in numeric columns</t>
  </si>
  <si>
    <t xml:space="preserve">no yield row</t>
  </si>
  <si>
    <t xml:space="preserve">Missing was recorded two ways (text in 17 rows, blank in 4).</t>
  </si>
  <si>
    <t xml:space="preserve">NORMALISED</t>
  </si>
  <si>
    <t xml:space="preserve">(4 rows)</t>
  </si>
  <si>
    <t xml:space="preserve">Venom Type</t>
  </si>
  <si>
    <t xml:space="preserve">parentheticals e.g. "Hemotoxic (potent anticoagulant)"</t>
  </si>
  <si>
    <t xml:space="preserve">Hemotoxic/anticoagulant etc.</t>
  </si>
  <si>
    <t xml:space="preserve">Detail moved to Notes.</t>
  </si>
  <si>
    <t xml:space="preserve">NOTED - NOT CHANGED</t>
  </si>
  <si>
    <t xml:space="preserve">The v3.2 log says these strictly remain Tier B until the Broad (1979) paper itself is in hand. Left as A pending the user's decision.</t>
  </si>
  <si>
    <t xml:space="preserve">2026-09-29</t>
  </si>
  <si>
    <t xml:space="preserve">SHEET ADDED</t>
  </si>
  <si>
    <t xml:space="preserve">Combined sheet</t>
  </si>
  <si>
    <t xml:space="preserve">Venom Hazard and Human Risk on separate sheets/columns only</t>
  </si>
  <si>
    <t xml:space="preserve">Combined sheet: LD50, yield max, Venom Hazard, 4 risk dimensions, Human Risk, Combined (0-100) + rank</t>
  </si>
  <si>
    <t xml:space="preserve">User request: one view with both scores, their inputs, and a combined field. Weights on Settings B59:B60 (50/50 default).</t>
  </si>
  <si>
    <t xml:space="preserve">User request</t>
  </si>
  <si>
    <t xml:space="preserve">YIELD ADDED</t>
  </si>
  <si>
    <t xml:space="preserve">18.12 / 52.58 mg dry (Used, Tier A) + 6 / 17 (Alternative, Tier C)</t>
  </si>
  <si>
    <t xml:space="preserve">Masci et al. 1998 Table 1; AVRU as competing estimate (3.1x spread now flagged).</t>
  </si>
  <si>
    <t xml:space="preserve">Masci et al. 1998; AVRU</t>
  </si>
  <si>
    <t xml:space="preserve">15.01 / 32.92 mg dry (Used, Tier C)</t>
  </si>
  <si>
    <t xml:space="preserve">Masci 1998 'P. nuchalis' figures; graded C for the pre-split taxonomy.</t>
  </si>
  <si>
    <t xml:space="preserve">Masci et al. 1998</t>
  </si>
  <si>
    <t xml:space="preserve">26 / 85 mg (Used, Tier C)</t>
  </si>
  <si>
    <t xml:space="preserve">Only source found.</t>
  </si>
  <si>
    <t xml:space="preserve">AVRU</t>
  </si>
  <si>
    <t xml:space="preserve">200 / 494 mg (Used, Tier C)</t>
  </si>
  <si>
    <t xml:space="preserve">10-45 mg (Used, Tier C)</t>
  </si>
  <si>
    <t xml:space="preserve">Only source found; statistic and mass basis unstated.</t>
  </si>
  <si>
    <t xml:space="preserve">Lang Balija et al. 2018</t>
  </si>
  <si>
    <t xml:space="preserve">YIELD RECORDED - NOT USED</t>
  </si>
  <si>
    <t xml:space="preserve">average 5.5 mg (Other basis)</t>
  </si>
  <si>
    <t xml:space="preserve">Average only; Quantity uses a max. Species still 'needs yield'.</t>
  </si>
  <si>
    <t xml:space="preserve">ADDED - CONFIRMED BY USER</t>
  </si>
  <si>
    <t xml:space="preserve">Venom effects; Bite propensity; Onset; Antivenom access</t>
  </si>
  <si>
    <t xml:space="preserve">blank</t>
  </si>
  <si>
    <t xml:space="preserve">Procoagulant/myotoxic; 5; Fast (hours); Widely available</t>
  </si>
  <si>
    <t xml:space="preserve">Gives a Human Risk on 3 dimensions (Encounter still blank). Onset is by analogy - see Species note.</t>
  </si>
  <si>
    <t xml:space="preserve">VAPAGuide; Gan et al. 2009 MJA; AVRU</t>
  </si>
  <si>
    <t xml:space="preserve">Neurotoxic/procoagulant; 3; Fast (hours); Limited</t>
  </si>
  <si>
    <t xml:space="preserve">Gives a Human Risk on 3 dimensions (Encounter still blank).</t>
  </si>
  <si>
    <t xml:space="preserve">AVRU; Lalloo et al. 1994 Toxicon; MAVIN</t>
  </si>
  <si>
    <t xml:space="preserve">3</t>
  </si>
  <si>
    <t xml:space="preserve">Day/night temperament split.</t>
  </si>
  <si>
    <t xml:space="preserve">VAPAGuide</t>
  </si>
  <si>
    <t xml:space="preserve">2</t>
  </si>
  <si>
    <t xml:space="preserve">Genus-level statement only.</t>
  </si>
  <si>
    <t xml:space="preserve">LD50 CHANGED</t>
  </si>
  <si>
    <t xml:space="preserve">0.02 (Tier D, untraced)</t>
  </si>
  <si>
    <t xml:space="preserve">0.164 (Tier A, Broad et al. 1979, SC saline)</t>
  </si>
  <si>
    <t xml:space="preserve">User decision: use the published study. 0.02 kept as Alternative, so the 8x spread stays flagged.</t>
  </si>
  <si>
    <t xml:space="preserve">LABEL CORRECTED</t>
  </si>
  <si>
    <t xml:space="preserve">Venom effects</t>
  </si>
  <si>
    <t xml:space="preserve">Hemotoxic/anticoagulant</t>
  </si>
  <si>
    <t xml:space="preserve">Hemotoxic/procoagulant</t>
  </si>
  <si>
    <t xml:space="preserve">Bleeding comes from consumption of clotting factors by procoagulant toxins, not from direct anticoagulation. Source to be added.</t>
  </si>
  <si>
    <t xml:space="preserve">Needs source</t>
  </si>
  <si>
    <t xml:space="preserve">NOTE CORRECTED</t>
  </si>
  <si>
    <t xml:space="preserve">Notes (antivenom)</t>
  </si>
  <si>
    <t xml:space="preserve">Antivenom: SAIMR polyvalent</t>
  </si>
  <si>
    <t xml:space="preserve">SAIMR/SAVP boomslang monovalent</t>
  </si>
  <si>
    <t xml:space="preserve">The polyvalent does not cover boomslang; a separate monovalent exists. Access level (Limited) unchanged.</t>
  </si>
  <si>
    <t xml:space="preserve">Needs source (SAVP product list)</t>
  </si>
  <si>
    <t xml:space="preserve">Same mechanism as boomslang. Source to be added.</t>
  </si>
  <si>
    <t xml:space="preserve">ACCESS CHANGED</t>
  </si>
  <si>
    <t xml:space="preserve">ASI states there is no antivenom for this snake. Agreed with user.</t>
  </si>
  <si>
    <t xml:space="preserve">African Snakebite Institute, Twig Snake species sheet (2017)</t>
  </si>
  <si>
    <t xml:space="preserve">CSL taipan antivenom (widely available in Australia) neutralised the venom in vitro. Agreed with user. Still 'insufficient data' for Human Risk (2 of 4 factors).</t>
  </si>
  <si>
    <t xml:space="preserve">Barber et al. (2014) Toxins 6(7):1979</t>
  </si>
  <si>
    <t xml:space="preserve">(94 species)</t>
  </si>
  <si>
    <t xml:space="preserve">one free-text field</t>
  </si>
  <si>
    <t xml:space="preserve">8 Y/blank columns (V:AC) + source (AD); F now calculated from them</t>
  </si>
  <si>
    <t xml:space="preserve">User decision. Blank means 'not recorded', not 'no'. Hemorrhagic is blank for all species: the old text never distinguished it, so it needs research. 31 species are Hemotoxic with no subtype.</t>
  </si>
  <si>
    <t xml:space="preserve">DEATHS FIGURE REJECTED</t>
  </si>
  <si>
    <t xml:space="preserve">25,000 (India, Tier D)</t>
  </si>
  <si>
    <t xml:space="preserve">none shown</t>
  </si>
  <si>
    <t xml:space="preserve">Searched for a source: none gives deaths by species for India. See Clinical Sources note.</t>
  </si>
  <si>
    <t xml:space="preserve">Suraweera et al. (2020) eLife 9:e54076</t>
  </si>
  <si>
    <t xml:space="preserve">10,000 (India, Tier D)</t>
  </si>
  <si>
    <t xml:space="preserve">15,000 (India, Tier D)</t>
  </si>
  <si>
    <t xml:space="preserve">5,000 (India, Tier D)</t>
  </si>
  <si>
    <t xml:space="preserve">DEATHS SOURCED</t>
  </si>
  <si>
    <t xml:space="preserve">0 (All records, Tier D)</t>
  </si>
  <si>
    <t xml:space="preserve">0 (Australia 2005-2015, Tier A)</t>
  </si>
  <si>
    <t xml:space="preserve">Scope narrowed to what the source covers.</t>
  </si>
  <si>
    <t xml:space="preserve">Johnston et al. (2017) ASP-20</t>
  </si>
  <si>
    <t xml:space="preserve">1-4 (Australia, Tier D)</t>
  </si>
  <si>
    <t xml:space="preserve">~1.7/yr, all brown snakes (Tier A)</t>
  </si>
  <si>
    <t xml:space="preserve">17 deaths in 10 years; genus-level figure.</t>
  </si>
  <si>
    <t xml:space="preserve">CFR SOURCED</t>
  </si>
  <si>
    <t xml:space="preserve">60-70% untreated (Tier D)</t>
  </si>
  <si>
    <t xml:space="preserve">7.4% (Thailand, Tier A); old figure kept as Alternative</t>
  </si>
  <si>
    <t xml:space="preserve">Only sourced figure found is for hospital/poison-centre cases.</t>
  </si>
  <si>
    <t xml:space="preserve">Tongpoo et al. (2018) TCRM 14:1711</t>
  </si>
  <si>
    <t xml:space="preserve">DEATHS ADDED</t>
  </si>
  <si>
    <t xml:space="preserve">none</t>
  </si>
  <si>
    <t xml:space="preserve">~0.4/yr, Australia 2005-2015 (Tier A)</t>
  </si>
  <si>
    <t xml:space="preserve">Found while sourcing brown snake deaths.</t>
  </si>
  <si>
    <t xml:space="preserve">STILL UNSOURCED</t>
  </si>
  <si>
    <t xml:space="preserve">Crotalus adamanteus; Naja atra</t>
  </si>
  <si>
    <t xml:space="preserve">Annual deaths; Case-fatality rate</t>
  </si>
  <si>
    <t xml:space="preserve">Searched 2026-09-29, no source found. Left as Tier D (shown with *).</t>
  </si>
  <si>
    <t xml:space="preserve">-</t>
  </si>
  <si>
    <t xml:space="preserve">ENCOUNTER SET</t>
  </si>
  <si>
    <t xml:space="preserve">4</t>
  </si>
  <si>
    <t xml:space="preserve">User decision; basis in Species note.</t>
  </si>
  <si>
    <t xml:space="preserve">Gan et al. (2009) Med J Aust 191(3):183-186</t>
  </si>
  <si>
    <t xml:space="preserve">Lalloo et al. (1994) Toxicon</t>
  </si>
  <si>
    <t xml:space="preserve">NARRATIVE HISTORY - the v3.2 "Notes &amp; Methodology" sheet, verbatim</t>
  </si>
  <si>
    <t xml:space="preserve">Methodology &amp; Caveats</t>
  </si>
  <si>
    <t xml:space="preserve">LD50 (mg/kg): Subcutaneous mouse LD50 where available; the lower the number, the more toxic the venom. Values compiled from multiple published sources (Ernst &amp; Zug 1996 compilation, peer-reviewed toxicology papers, and species-specific studies). Values vary meaningfully by testing route (SC/IV/IP) and study; treat as representative, not definitive.</t>
  </si>
  <si>
    <t xml:space="preserve">Min/Max Yield (mg): Typical reported range of dry venom yield per bite (milking studies). Real bites are often partial or 'dry' (little/no venom injected).</t>
  </si>
  <si>
    <t xml:space="preserve">Combined Score: = Max Yield / (LD50 x 75kg). A rough estimate of how many lethal 75kg-human doses one maximal bite could theoretically deliver. Ignores time-to-death, mechanism of action, and treatability. Uses MAX yield (worst case), not average.</t>
  </si>
  <si>
    <t xml:space="preserve">Proximity (1-10): Author estimate of how much a species' habitat/range overlaps with human settlement (10 = farms/villages/houses, 1 = essentially never encountered). NOT a standardized scientific metric - qualitative judgment based on documented range/habitat descriptions.</t>
  </si>
  <si>
    <t xml:space="preserve">Documented Annual Deaths: Only reliably available for a handful of well-studied species (India's 'Big Four', Australia, USA). Most entries say 'not tracked' or 'not well documented' - this reflects a genuine data gap, not necessarily low danger.</t>
  </si>
  <si>
    <t xml:space="preserve">Known limitation: Combined Score correlates well with real-world danger only among snakes with similar proximity. It significantly overstates danger for low-proximity, high-toxicity snakes (e.g. inland taipan, hook-nosed sea snake), and can understate danger for snakes whose bite behavior differs (e.g. common krait's painless nocturnal bite vs. saw-scaled viper's fast, obvious strike) even at equal proximity.</t>
  </si>
  <si>
    <t xml:space="preserve">Documented Bite Behavior: A DESCRIPTIVE text field, not a numeric score. It notes documented behavioral facts (rear-fanged and reluctant to bite, relies on camouflage rather than fleeing, warns before striking, etc.) sourced from herpetological descriptions. This is intentionally NOT quantified into the Combined Score or any formula - assigning a numeric 'aggression score' would reintroduce the same subjectivity problem we deliberately removed from Proximity's calibration. Use this column to qualitatively adjust your own read of a row (e.g. puff adder's high combined score AND its 'won't move away' behavior compound real-world risk, while boomslang's high combined score is offset by being rear-fanged and shy).</t>
  </si>
  <si>
    <t xml:space="preserve">Onset Speed (untreated) / Onset Notes: How quickly symptoms/death typically progress WITHOUT treatment, based on typical clinical case reports. This is DIFFERENT from LD50 - LD50 measures dose required, not time course. A venom can be highly toxic (low LD50) but slow-acting (e.g. saw-scaled viper: fast strike, but death from internal bleeding typically takes 1-2+ days), or moderately toxic but very fast (e.g. black mamba, historically one of the quickest-acting venoms). This variable is highly case-dependent (bite location, venom dose, individual health) - treat these as typical ranges from case literature, not fixed values. The boomslang's delayed, deceptively mild onset (the case that killed herpetologist Karl Schmidt in 1957) is a well-documented example of why onset speed and toxicity are not the same thing.</t>
  </si>
  <si>
    <t xml:space="preserve">This dataset draws on multiple secondary sources rather than a single controlled study, so cross-species values are not perfectly apples-to-apples. Use for relative comparison and exploration, not as a validated scientific ranking.</t>
  </si>
  <si>
    <t xml:space="preserve">* Malayan krait: flagged with an asterisk because its LD50 (0.1 mg/kg) is measured INTRAVENOUSLY, not subcutaneously like most other rows in this table. IV LD50 is typically a different (often more sensitive/faster) measure than SC LD50 for the same venom, so this entry is not perfectly apples-to-apples with the rest of the table. Yield (5mg) is also a single point estimate from one source, not a min-max range like other entries. Added after being identified as a genuine gap during fact-checking against a third-party video - this table should be treated as a living document, not a finished/exhaustive one.</t>
  </si>
  <si>
    <t xml:space="preserve">Note on sorting: there is no fixed 'Rank' column in this table on purpose. Which snake is #1 depends entirely on which column you sort by (Combined Score, LD50, Yield, Proximity, Documented Annual Deaths) - a fixed rank would misleadingly imply one single correct ordering. Sort by whichever column answers the question you're actually asking.</t>
  </si>
  <si>
    <t xml:space="preserve">2025 coverage audit: 27 species were added after cross-checking against a third-party 76-species list to find gaps. All added using SC (subcutaneous) LD50 data matching our existing methodology, mainly sourced from the same Ernst &amp; Zug (1996) compilation as the rest of this table, or clearly flagged with an asterisk (*) where SC data wasn't available and a different route was used instead (same treatment as the earlier Malayan krait addition).</t>
  </si>
  <si>
    <t xml:space="preserve">Rows with 'Not documented' in Yield / N/A in Combined Score: several Australian elapids (Speckled brown snake, Western brown snake, Dugite, Stephens' banded snake, Blue-bellied black snake, Mulga snake, Collett's snake, Lowlands copperhead) have solid, sourced SC LD50 values but no reliably sourced venom yield figure - Combined Score cannot be calculated for these without fabricating a number, so it's left as N/A rather than guessed.</t>
  </si>
  <si>
    <t xml:space="preserve">Correction: 'Red-bellied black snake' from the source list was checked and found to be the SAME species (Pseudechis porphyriacus) as 'Common blacksnake' already in this table under a different common name - not added as a duplicate.</t>
  </si>
  <si>
    <t xml:space="preserve">Still NOT added - genuine gaps not yet resourced with confidence: Congo water cobra, Small-scaled burrowing asp, Fea's viper, Sharp-nosed viper, Mexican west coast rattlesnake, Jameson's mamba, Clarence River snake. These require further dedicated research before adding - not included here rather than adding low-confidence guesses.</t>
  </si>
  <si>
    <t xml:space="preserve">Second coverage audit: 12 more species added after checking a 50-species reference list (with scientific names) against this table. Two important findings from that check: (1) 'Black-banded sea krait' in that list (LD50 0.111) and 'Taiwanese krait' from the earlier pending list turned out to both be resolved together - Many-banded krait (Bungarus multicinctus) IS the Taiwanese krait (same species, different common name), now added with a confirmed SC LD50 of 0.108 (Jiang et al. 2011). (2) A duplicate was found and removed: 'Eastern coral snake' (added in the prior round) and 'Harlequin coral snake' (in the original table) are the SAME species (Micrurus fulvius) - the duplicate row was deleted.</t>
  </si>
  <si>
    <t xml:space="preserve">Important species distinction: 'Common lancehead' (Bothrops atrox, LD50 0.35) and 'Terciopelo' (Bothrops asper, LD50 1.1, already in this table) are DIFFERENT species that are both sometimes called 'fer-de-lance' in casual usage. They are not duplicates - kept as separate rows.</t>
  </si>
  <si>
    <t xml:space="preserve">Third coverage check: 2 more species added (Congo water cobra*, Speckled rattlesnake*) after a small follow-up list. Congo water cobra's LD50 (0.12, IP route) was independently confirmed via a peer-reviewed venom comparison paper. Speckled rattlesnake's LD50 (0.21) could NOT be independently verified from accessible sources - included anyway per the person's request, flagged with an asterisk and a note in its Onset Notes cell, rather than omitted.</t>
  </si>
  <si>
    <t xml:space="preserve">UNRESOLVED DATA CONFLICT: for 'Blue-bellied black snake' (Pseudechis guttatus) and 'Mulga snake' (Pseudechis australis), a follow-up source cited LD50 values of 0.52 and 1.91 mg/kg respectively - meaningfully different from this table's sourced values of 2.13 and 2.38 (from an Australian reptile-handler reference table, route/methodology not fully specified). Neither figure could be independently confirmed or refuted from accessible literature in the time available. This table currently keeps its ORIGINAL values (2.13, 2.38) - flagged here as an open conflict rather than silently resolved. If you have the specific source for 0.52/1.91 (e.g., a specific toxinology paper or the AVRU/Sutherland clinical database), sharing it would let this be corrected properly.</t>
  </si>
  <si>
    <t xml:space="preserve">Fourth coverage check: a 20-species yield-focused list was checked against this table - all 20 species were already present, no new additions needed. Mulga snake's Yield (previously 'Not documented') was filled in using this new reference (180-300mg typical, up to 1,350mg max), since that closed a genuine gap. However, FOUR YIELD CONFLICTS were also found and are NOT yet resolved - this table keeps its original, Ernst &amp; Zug-sourced yield figures for these four pending review with a known source:</t>
  </si>
  <si>
    <t xml:space="preserve">  - Forest cobra (Naja melanoleuca): this table has 500-1102mg; new reference cites 180-300mg (max 500mg) - ranges barely overlap</t>
  </si>
  <si>
    <t xml:space="preserve">  - Black mamba (Dendroaspis polylepis): this table has 50-100mg; new reference cites 100-120mg (max 400mg) - new reference's minimum exceeds this table's maximum</t>
  </si>
  <si>
    <t xml:space="preserve">  - South American rattlesnake / Neotropical rattlesnake (Crotalus durissus): this table has 20-100mg; new reference cites 100-150mg (max 300mg) - ranges don't overlap</t>
  </si>
  <si>
    <t xml:space="preserve">  - Jararaca (Bothrops jararaca): this table has 40-70mg; new reference cites 70-140mg (max 300mg) - ranges barely overlap</t>
  </si>
  <si>
    <t xml:space="preserve">These four are flagged as open questions rather than resolved, since the newer reference's methodology/source is unknown and can't be weighed against the Ernst &amp; Zug (1996) figures already used throughout most of this table.</t>
  </si>
  <si>
    <t xml:space="preserve">--- v2 REVISION - 28 September 2026: taxonomic restructure and partial verification ---</t>
  </si>
  <si>
    <t xml:space="preserve">KEY CHANGE: the table is now keyed on SCIENTIFIC NAME, not common name. Common names are retained, with all known alternates listed in 'Other Common Names'. This closes the failure mode behind all three prior duplicate incidents logged above.</t>
  </si>
  <si>
    <t xml:space="preserve">DEDUPLICATION: 91 rows -&gt; 90 species. One true duplicate found and merged: 'Sea krait' (LD50 0.16) and 'Yellow-lipped sea krait' (LD50 0.40) are both Laticauda colubrina. The merge is complete but the LD50 disagreement between the two source rows is NOT resolved - the surviving row is flagged 'open conflict'. Do not treat its 0.40 as verified.</t>
  </si>
  <si>
    <t xml:space="preserve">GAP CLOSED WITHOUT NEW RESEARCH: 'Sharp-nosed viper', listed above as a genuine gap not yet resourced, is Deinagkistrodon acutus - already in this table as 'Hundred-pace pit viper'. It can be struck from the pending list.</t>
  </si>
  <si>
    <t xml:space="preserve">TAXONOMIC FLAGS: 12 rows carry notes in the 'Taxonomic Note' column for genus reassignments (Enhydrina-&gt;Hydrophis, Pelamis-&gt;Hydrophis, Lapemis-&gt;Hydrophis, Acalyptophis-&gt;Hydrophis, Atropoides-&gt;Metlapilcoatlus, Boulengerina-&gt;Naja) and for species complexes where a pre-split LD50 may describe a population now assigned elsewhere (Naja melanoleuca, Crotalus oreganus, Crotalus mitchellii, Pseudonaja mengdeni, Echis carinatus, Ophiophagus hannah). These are NOT errors - they are rows where the LD50's taxon of origin should be confirmed before the value is relied on.</t>
  </si>
  <si>
    <t xml:space="preserve">PROVENANCE GRADING: every LD50 and yield now carries a Source Tier (A-D, see 'Source Tiers' sheet), a route (LD50) or mass basis (yield), and a source note. This is the substantive change: values are not asserted as correct, they are graded by how well they are sourced.</t>
  </si>
  <si>
    <t xml:space="preserve">HONEST SCOPE STATEMENT: 3 species were verified to Tier B against a named primary study in this pass. The remaining 87 are graded Tier C or D and marked 'unverified - Tier 4 structural check only'. They have NOT been checked against primary literature. Do not read the tier column as a quality judgement on the snake data - read it as a statement of how much work has been done so far.</t>
  </si>
  <si>
    <t xml:space="preserve">CORRECTIONS APPLIED (see Verification Log sheet):</t>
  </si>
  <si>
    <t xml:space="preserve">  1. Oxyuranus microlepidotus (inland taipan) LD50 0.03 -&gt; 0.025 mg/kg SC. The 0.03 appears to be a rounding; 0.025 is the figure from Broad, Sutherland &amp; Coulter (1979) via IPCS INCHEM PIM 394. This RAISES its Combined Score from 48.9 to 58.7 and moves it up the ranking.</t>
  </si>
  <si>
    <t xml:space="preserve">  2. Pseudechis australis (mulga snake) max yield 1350 -&gt; 600 mg. IPCS INCHEM PIM 449 gives avg 180mg / max 600mg. The 1350 figure is not supported by that source.</t>
  </si>
  <si>
    <t xml:space="preserve">CONFLICTS RESOLVED:</t>
  </si>
  <si>
    <t xml:space="preserve">  Pseudechis australis LD50: the unresolved 2.38-vs-1.91 conflict logged above is CLOSED in favour of 2.38. IPCS INCHEM PIM 449 confirms 2.38 mg/kg SC, sourced to Broad, Sutherland &amp; Coulter (1979). The 1.91 figure is unsupported.</t>
  </si>
  <si>
    <t xml:space="preserve">  SOURCE IDENTIFIED: Broad, Sutherland &amp; Coulter (1979) is the origin of the Australian elapid SC LD50 values. This is the AVRU/Sutherland source the note above asked for. Every Australian elapid row in this table should be checked against it directly - it is a named primary study with SC route stated, which would promote those rows from Tier C to Tier A.</t>
  </si>
  <si>
    <t xml:space="preserve">CONFLICTS STILL OPEN:</t>
  </si>
  <si>
    <t xml:space="preserve">  Pseudechis guttatus LD50 (2.13 vs 0.52) - unresolved. Current value is Tier D, from a handler reference with unspecified route. This is now the weakest-sourced value in the table. Broad et al. (1979) is the likely resolution.</t>
  </si>
  <si>
    <t xml:space="preserve">  Four yield conflicts (Naja melanoleuca, Dendroaspis polylepis, Crotalus durissus, Bothrops jararaca) - unresolved. NOTE: all four newer figures run HIGHER than the Ernst &amp; Zug values. A consistent directional bias across four independent species is the signature of a dry-mass vs wet-mass difference, not four separate errors. Check the mass basis of the newer reference before treating these as genuine disputes.</t>
  </si>
  <si>
    <t xml:space="preserve">  Laticauda colubrina LD50 (0.16 vs 0.40) - new conflict, exposed by the deduplication.</t>
  </si>
  <si>
    <t xml:space="preserve">COMBINED SCORE: now a live formula (=MaxYield/(LD50*75)) rather than a static value, so it recalculates when inputs are corrected. Two caveats stand. First, it divides a yield by an LD50 drawn from mixed routes and unstated mass bases, so it is not strictly comparable across rows even where each input is individually correct. Second, the mouse-to-human linear mass extrapolation is not well supported - rodent lethality models translate poorly to human envenoming. Treat it as a relative venom-burden index, not a count of human lethal doses.</t>
  </si>
  <si>
    <t xml:space="preserve">--- v2.1 UPDATE - Broad, Sutherland &amp; Coulter (1979) trail worked ---</t>
  </si>
  <si>
    <t xml:space="preserve">SOURCE OBTAINED: Broad, Sutherland &amp; Coulter (1979), Toxicon 17:661-664, "The lethality in mice of dangerous Australian and other snake venom". This is the CSL study behind essentially every Australian elapid SC LD50 in circulation, and the source the earlier note was asking for.</t>
  </si>
  <si>
    <t xml:space="preserve">THE CRITICAL STRUCTURAL FINDING: Broad et al. report TWO LD50 values per species - venom diluted in saline alone, and venom diluted in saline PLUS bovine serum albumin. Downstream tables almost universally quote only one and do not say which. That single fact explains a large share of the apparent LD50 disagreements in circulation, including one of this table's own logged conflicts.</t>
  </si>
  <si>
    <t xml:space="preserve">CONFLICT CLOSED - Pseudechis australis: the 2.38-vs-1.91 dispute was never a disagreement. 2.38 is Broad's saline value; 1.91 is Broad's BSA value. Same study, same animals, different vehicle. Both are correct.</t>
  </si>
  <si>
    <t xml:space="preserve">CONFLICT CLOSED - Pseudechis guttatus: Broad gives 2.13 saline / 1.53 BSA. The 2.13 held here is the correct saline figure and is now Tier A. The 0.52 from the follow-up source matches neither column and is unsupported.</t>
  </si>
  <si>
    <t xml:space="preserve">PROVENANCE WIN: 9 of 13 Australian elapid rows already matched Broad's saline column to rounding. That block is therefore Broad-derived and has been promoted from Tier C to TIER A, with route (SC) and vehicle (saline) now explicit. A new column, "LD50 BSA vehicle (mg/kg)", carries the second figure wherever the study reports it.</t>
  </si>
  <si>
    <t xml:space="preserve">THREE AUSTRALIAN CORRECTIONS (values replaced with the primary-source figure):</t>
  </si>
  <si>
    <t xml:space="preserve">  Austrelaps superbus (lowlands copperhead): 2.0 -&gt; 0.56 mg/kg. A 3.6x error - this snake is substantially more toxic than the table stated.</t>
  </si>
  <si>
    <t xml:space="preserve">  Pseudechis porphyriacus (common blacksnake / red-bellied black): 0.5 -&gt; 2.52 mg/kg. A 5x error in the opposite direction - substantially LESS toxic than stated.</t>
  </si>
  <si>
    <t xml:space="preserve">  Acanthophis antarcticus (common death adder): 0.6 -&gt; 0.4 mg/kg.</t>
  </si>
  <si>
    <t xml:space="preserve">  Four further rows adjusted for rounding only (0.05-&gt;0.053, 0.1-&gt;0.099, 0.12-&gt;0.118, 0.47-&gt;0.473).</t>
  </si>
  <si>
    <t xml:space="preserve">FIVE NON-AUSTRALIAN CONFLICTS EXPOSED - these are NOT corrected, they are flagged. Broad et al. tested these species too, and diverges sharply from the figures held here:</t>
  </si>
  <si>
    <t xml:space="preserve">  Crotalus adamanteus (eastern diamondback): table 1.2 vs Broad 11.4 - a 9.5x gap</t>
  </si>
  <si>
    <t xml:space="preserve">  Hydrophis schistosus (hook-nosed sea snake): table 0.02 vs Broad 0.164 - an 8.2x gap</t>
  </si>
  <si>
    <t xml:space="preserve">  Dendroaspis polylepis (black mamba): table 0.05 vs Broad 0.32 - a 6.4x gap</t>
  </si>
  <si>
    <t xml:space="preserve">  Ophiophagus hannah (king cobra): table 0.9 vs Broad 1.8 - a 2x gap</t>
  </si>
  <si>
    <t xml:space="preserve">  Naja naja (Indian cobra): table 0.45 vs Broad 0.565</t>
  </si>
  <si>
    <t xml:space="preserve">  These are left at their existing values and marked Tier D / open conflict. Broad et al. is authoritative for Australian elapids (CSL had direct, repeated access to those animals) but a single 1979 study on imported venom is not automatically preferable to the regional literature for non-Australian species. Each needs a third source. Note that the hook-nosed sea snake conflict matters disproportionately: it is one of the most-cited "most venomous snake" figures in existence.</t>
  </si>
  <si>
    <t xml:space="preserve">TIGER SNAKE CAVEAT: the single Notechis scutatus row conceals a 2.9x spread across subspecies in Broad's own data - mainland 0.118, N. s. occidentalis 0.194, N. ater niger 0.131, N. ater serventyi (Chappell Island) 0.338. Any ranking that treats "tiger snake" as one number is averaging across that spread.</t>
  </si>
  <si>
    <t xml:space="preserve">FOUR SPECIES ADDED (present in Broad et al., absent here): Pseudechis papuanus (1.09), Tropidechis carinatus (1.36), Cryptophis nigrescens (2.67), Demansia olivacea (714.2). LD50 is Tier A; all other fields are unpopulated and flagged as such. Demansia olivacea at 714.2 mg/kg is a useful scale anchor - it is roughly 28,000x less toxic than the inland taipan and shows how wide the real range is.</t>
  </si>
  <si>
    <t xml:space="preserve">ROW COUNT: 94 species (90 after dedup, plus 4 added).</t>
  </si>
  <si>
    <t xml:space="preserve">TIER POSITION AFTER THIS PASS: 17 rows at Tier A, 3 at Tier B, 66 at Tier C, 8 at Tier D. Roughly a fifth of the table now rests on a named primary study with route and vehicle stated.</t>
  </si>
  <si>
    <t xml:space="preserve">--- v3 UPDATE - Combined Score replaced by a five-dimension weighted model ---</t>
  </si>
  <si>
    <t xml:space="preserve">WHY: a single score fused five unrelated things - how toxic the venom is, how much arrives, how likely you are to meet the snake, how fast it hurts you, and whether it can be treated. Collapsing those into one number is what makes a ranking both wrong and unexplainable. The earlier note on this sheet already reached that conclusion - that which snake is number 1 depends entirely on which column you sort by - and deliberately refused to add a Rank column. The Combined Score quietly contradicted that by producing exactly the single ordering the note declined to endorse.</t>
  </si>
  <si>
    <t xml:space="preserve">THE FIVE DIMENSIONS (each 0-100, each independent, none fused):</t>
  </si>
  <si>
    <t xml:space="preserve">  Potency - from LD50. Log-scaled, because the range spans 0.02-714 mg/kg (~4.5 orders of magnitude) and a linear scale would collapse almost every species into one bucket.</t>
  </si>
  <si>
    <t xml:space="preserve">  Quantity - from Max Yield. Log-scaled for the same reason. Still uses MAX, so it favours species with wide yield ranges; a median-based variant remains worth building.</t>
  </si>
  <si>
    <t xml:space="preserve">  Encounter - from Proximity. The softest input in the model: an author estimate, not a standardised metric.</t>
  </si>
  <si>
    <t xml:space="preserve">  Severity - from Onset Speed, mapped to a 1-5 ordinal via an explicit lookup table on the Ranking Model sheet.</t>
  </si>
  <si>
    <t xml:space="preserve">  Treatability - from Antivenom Availability, mapped to a 1-5 ordinal, inverted so that less available scores higher.</t>
  </si>
  <si>
    <t xml:space="preserve">WEIGHTS ARE LIVE AND EDITABLE (Ranking Model sheet, yellow cells). Default 25/25/25/15/10. Set any weight to 0 to drop that dimension. Weights need not sum to 100 - they are renormalised, and rows missing a dimension are renormalised over the dimensions they do have. This is the point of the redesign: the table no longer asserts one ranking, it shows how the ranking depends on what you are asking. Set Encounter to 0 and you get pure laboratory toxicity, where the inland taipan and hook-nosed sea snake lead. Weight Encounter heavily and Russell’s viper, the Indian cobra and the kraits rise - which is what the epidemiology actually shows.</t>
  </si>
  <si>
    <t xml:space="preserve">WHAT THE DEFAULT WEIGHTING PRODUCES: the top of the list is now Eastern brown snake, Indian cobra, Russell’s viper, Monocled cobra, Many-banded krait. That is a markedly better match to real-world snakebite burden than the old score, whose top two were forest cobra and Russell’s viper on yield alone. Treat this as a useful validation signal, not proof - the model was not fitted to mortality data, so the agreement is at least independent.</t>
  </si>
  <si>
    <t xml:space="preserve">QUARANTINE EFFECT: the well-sourced numeric data (LD50, yield) and the soft qualitative data (proximity, onset, antivenom) now sit in separate dimensions. Previously the Tier A LD50 work was diluted by an author-estimated proximity score inside a single figure. They can now be weighted separately, or the soft dimensions switched off entirely.</t>
  </si>
  <si>
    <t xml:space="preserve">GUARD: rows with fewer than 3 of the 5 dimensions return "insufficient data" rather than a composite. Four rows are currently suppressed - the species added from Broad et al., which have a Tier A LD50 and nothing else yet. A composite built from one dimension is not a composite. The Dimensions Available column shows the count for every row.</t>
  </si>
  <si>
    <t xml:space="preserve">THE OLD SCORE IS RETAINED, renamed Legacy Venom Burden Score, so earlier analyses remain reproducible. It should not be used for new work. Its two known defects stand: it divides a yield by an LD50 drawn from mixed routes and unstated mass bases, and its mouse-to-human linear mass extrapolation is not well supported.</t>
  </si>
  <si>
    <t xml:space="preserve">KNOWN LIMITATION OF THE POTENCY SCALE: Demansia olivacea at 714.2 mg/kg is a genuine outlier that compresses the rest of the log scale - most species occupy roughly the lower 60% of the range. This is honest, since the range really is that wide, but if it hinders reading, exclude that row or switch to a percentile rank.</t>
  </si>
  <si>
    <t xml:space="preserve">OUTSTANDING - carried forward: (1) obtain the Broad et al. (1979) PDF itself; the 17 Tier A rows currently rest on a secondary reproduction of its table, which is strictly Tier B. (2) dry-vs-wet mass audit on the four yield conflicts. (3) third source for the five non-Australian LD50 conflicts, hook-nosed sea snake first. (4) resolve the Laticauda colubrina post-merge LD50 disagreement.</t>
  </si>
  <si>
    <t xml:space="preserve">--- v3.1 UPDATE - 28 September 2026: independent verification pass, model bug fix, yield provenance ---</t>
  </si>
  <si>
    <t xml:space="preserve">SCOPE OF THIS PASS: verification of what v2/v3 asserted, not new model building. Three things were checked: the arithmetic, the LD50 provenance, and the yield provenance.</t>
  </si>
  <si>
    <t xml:space="preserve">A LIVE BUG OF THE CLASS THIS PROJECT ALREADY KNOWS ABOUT. "Unknown" sits in the severity lookup at A40 with no ordinal beside it. MATCH found the key, INDEX returned the blank cell, the arithmetic consumed it as 0, and 100*(0-1)/4 produced a Severity of -25 on a scale defined as 0-100. IFERROR did not catch it because nothing errored. It was live on Oxyuranus temporalis and was feeding a negative number into that row’s weighted composite. This is exactly the defect class the handover describes: a blank silently treated as 0, producing a plausible-looking wrong number. Both lookup formulas are now guarded, and a QA Checks sheet was added to catch the class rather than the instance.</t>
  </si>
  <si>
    <t xml:space="preserve">BOTH ENDS OF THE POTENCY SCALE WERE SET BY THE TWO LEAST RELIABLE NUMBERS IN THE TABLE. The scale ran from the column minimum (Hydrophis schistosus, 0.02 - disputed, and the value this workbook already flagged as its most consequential open conflict) to the column maximum (Demansia olivacea, 714.2 - a ceiling reading rather than a measurement, and a row the model itself suppresses as insufficient-data). A row excluded from the output was setting the scale for every row in it. Measured effect: median Potency 71.4 with an interquartile range of 60.9-81.4, i.e. most of the table compressed into the top third of a scale defined by its two worst values. Anchors are now trimmed percentiles (editable, default 2nd/98th) and scores are clamped to 0-100. Set the trim cells to 0 and 1 to restore the old behaviour.</t>
  </si>
  <si>
    <t xml:space="preserve">THE BSA COLUMN HELD TWO DIFFERENT THINGS. For the Australian rows, LD50 and BSA were a matched pair from one study. For Hydrophis schistosus, Crotalus adamanteus, Ophiophagus hannah and Naja naja they were not: the LD50 came from other literature and the BSA figure from Broad. Comparing them row-wise - the obvious thing to do with a column called "BSA vehicle" - was meaningless for those four, and it manufactures a false signal, because those are the only rows where BSA appears higher than saline. Meanwhile Broad’s saline figures for the five open conflicts existed only as prose on this sheet, so they could not be sorted, filtered or computed against. They now have their own column, with a live ratio column beside it.</t>
  </si>
  <si>
    <t xml:space="preserve">A SUSPICION THAT TURNED OUT WRONG, RECORDED BECAUSE IT WAS ACTED ON. Pseudechis papuanus (1.09 saline / 1.36 BSA) and Tropidechis carinatus (1.36 / 1.09) are an exact mirror, and both break the usual direction in which BSA values fall below saline. That is a textbook transposition signature and it was flagged as a probable data-entry swap. The source prints both pairs exactly as held. The values are correct and the suspicion was wrong.</t>
  </si>
  <si>
    <t xml:space="preserve">THE FOUR-YIELD-CONFLICT PREMISE DOES NOT HOLD. The carried-forward diagnosis is that all four competing figures run higher than the held ones, and that a consistent direction across four species points to a dry-versus-wet mass difference. This sheet’s own record contradicts the premise: forest cobra is 500-1102 held against 180-300 (max 500) newer - lower, not higher. Three run one way and one runs the other, so a single mechanism cannot explain the set, and a mass-basis audit will not resolve them. They are at least three different problems:</t>
  </si>
  <si>
    <t xml:space="preserve">  Forest cobra - a statistic mismatch, not a mass mismatch. The held 500-1102 joined one compilation’s figure to another study’s single-specimen record. The milking study behind the 1102 reports mean 571 mg over 59 milkings, dry. Corrected. Compounding it, N. melanoleuca was split into five species in 2018, so the animals behind any pre-split yield may not be the species in this row - which is what the existing taxonomic flag on that row was warning about.</t>
  </si>
  <si>
    <t xml:space="preserve">  Black mamba - the held value is low, not the newer one high. 100-120 mg average with a 400 mg maximum is the commonly cited figure; this table holds 50-100. The conflict points at the held value.</t>
  </si>
  <si>
    <t xml:space="preserve">  Neotropical rattlesnake and jararaca - genuinely unresolved. Still need the newer reference’s methodology.</t>
  </si>
  <si>
    <t xml:space="preserve">A REAL DRY-VERSUS-WET EFFECT EXISTS, JUST NOT HERE. A 2026 African milking study reports Bitis arietans at 443 mg mean (199-935, n=24) explicitly as WET venom. At a wet:dry ratio of roughly 3.5-4 that is ~110-125 mg dry, consistent with the 100-350 dry range held here. So the hypothesis is sound in general and worth keeping as a standing check - it simply is not what is driving these four.</t>
  </si>
  <si>
    <t xml:space="preserve">ROOT CAUSE UNDER THE YIELD CONFLICTS. Min/Max Yield forces every source into a two-number shape whether or not it reported one: a range across specimens, a mean of n milkings, and a single record max all land in the same two cells and become indistinguishable. That is the same defect the LD50 vehicle work already fixed, sitting in the yield column. Columns for Yield Statistic and Yield n have been added; where the statistic is not known the cell says so rather than being left blank.</t>
  </si>
  <si>
    <t xml:space="preserve">TOXICITY VALUES: WHAT THIS PASS ACTUALLY ESTABLISHED.</t>
  </si>
  <si>
    <t xml:space="preserve">  Verified as correctly transcribed: the full Australian elapid block, checked line by line against a second independent reproduction of the Broad table, including the four tiger-snake taxa and the four species added in v2.1. No transcription errors found.</t>
  </si>
  <si>
    <t xml:space="preserve">  NOT promoted in tier. Two independent secondary reproductions agreeing makes transcription error unlikely; it does not make either of them the paper. The 17 Tier A rows are still strictly Tier B until the Toxicon PDF is in hand. That remains the highest-leverage single fix, exactly as the handover states.</t>
  </si>
  <si>
    <t xml:space="preserve">  Escalated - Dendroaspis polylepis. Broad gives 0.32 SC saline, and two further citations give 0.32-0.33 IV. Nothing reachable supports the 0.05 held here. This is no longer a disagreement between two sources; it is a held value with no located provenance.</t>
  </si>
  <si>
    <t xml:space="preserve">  Escalated - Hydrophis schistosus. A third figure, 0.1125 (route unstated), now sits alongside Broad’s 0.164. Two independent figures cluster at 0.11-0.17 against the held 0.02. Also observed: a widely-read secondary table reproduces Broad’s two columns for this species with saline and BSA swapped, which is a plausible route by which the confusion spreads.</t>
  </si>
  <si>
    <t xml:space="preserve">  New inconsistency - Naja melanoleuca. This sheet attributes most LD50s to Ernst &amp; Zug (1996); that compilation is cited elsewhere as 0.225 mg/kg SC for this species against the 0.12 held here. The row does not match its own stated source.</t>
  </si>
  <si>
    <t xml:space="preserve">SOURCING DISCIPLINE OBSERVED IN THIS PASS. The Source Tiers sheet rates Wikipedia and "most venomous" rankings as Tier F, not admissible. No value in this update was taken from one. Where such a page was opened, it was used only to identify which primary citation to chase - Mirtschin et al. (2006) for yields, Ernst &amp; Zug (1996) for the forest cobra LD50 - and the citation, not the page, is what is recorded. The forest cobra yield is marked Tier B rather than A for that reason: the study is named and its basis stated, but the PDF has not been read.</t>
  </si>
  <si>
    <t xml:space="preserve">COVERAGE GAPS THAT BEAR DIRECTLY ON THE MORTALITY-RANKING GOAL.</t>
  </si>
  <si>
    <t xml:space="preserve">  The Echis complex is split, and E. ocellatus / E. romani - which drive most West African saw-scaled viper mortality - are absent from this table entirely. The stated aim is a model that tracks real-world mortality; it cannot rank saw-scaled vipers properly while the deadliest members of the complex have no rows. This is a larger obstacle to that aim than any of the five LD50 conflicts.</t>
  </si>
  <si>
    <t xml:space="preserve">  Ophiophagus hannah was split into four species in 2024, which bears on its open LD50 conflict.</t>
  </si>
  <si>
    <t xml:space="preserve">  Broad reports four tiger-snake taxa spanning 2.9x; only N. scutatus is a row here.</t>
  </si>
  <si>
    <t xml:space="preserve">--- v3.2 UPDATE - 28 September 2026: the zeros ---</t>
  </si>
  <si>
    <t xml:space="preserve">RAISED FROM ONE OBSERVATION: Echis carinatus scores 0 on Severity and 0 on Treatability while killing more people than any other snake.</t>
  </si>
  <si>
    <t xml:space="preserve">IT IS NOT ONE INSTANCE. 74 dimension cells sat at exactly 0, across 57 of the 90 scored rows: 27 on Severity, 33 on Treatability, 11 on Encounter, 3 elsewhere. The cause is the transform 100*(ordinal-1)/4, which pins the lowest category of any ordinal scale to exactly zero. A zero in a weighted mean is not "no information" - it is "maximally low". So the scale was asserting that slow onset, or a widely available antivenom, contributes literally nothing to danger. That is a claim made by a scaling choice, not by evidence.</t>
  </si>
  <si>
    <t xml:space="preserve">BUT RESCALING IS NOT THE FIX, AND THIS WAS TESTED BEFORE ANYTHING WAS CHANGED. Lifting the ordinal floor from 0 to 10 moved the saw-scaled viper from rank 21 to rank 22 - the wrong way. Lifting the floor lifts every row that had zeros, and it simultaneously caps Echis’s maxed-out Encounter score from 100 down to 90. Net effect: nothing. The arithmetic was never what was holding it down.</t>
  </si>
  <si>
    <t xml:space="preserve">THE ZEROS WERE THE MODEL REPORTING ITS OWN BROKEN DEFINITIONS. Echis scores 0 on Severity because the dimension measures onset SPEED, and 0 on Treatability because the dimension measures whether a product EXISTS. Those two facts are exactly why it kills: slow onset delays care-seeking, and an antivenom existing somewhere in India is not an antivenom reaching a rural bite victim within the window. Two-thirds of all the zeros in the table sit in precisely the two dimensions the handover had already diagnosed as conceptually wrong. That is not a coincidence - it is the diagnosis being confirmed from a second direction.</t>
  </si>
  <si>
    <t xml:space="preserve">WHAT CHANGED. Two editable cells on the Ranking Model sheet, and no weights touched.</t>
  </si>
  <si>
    <t xml:space="preserve">  Ordinal floor / ceiling (B65, B66), default 10 and 90. The lowest category no longer maps to zero. Set 0 and 100 to restore the original edge mapping exactly. Zero-valued dimension cells: 74 before, 3 after.</t>
  </si>
  <si>
    <t xml:space="preserve">  Severity direction (B67), default "mortality". "urgency" is the original behaviour, fast onset scoring high. "mortality" inverts it, so slow onset scores high. This is handover fix #1, implemented as a switch rather than a replacement, because the right direction genuinely differs between the two questions - for venom hazard, fast onset IS the danger; for human mortality, slow onset is.</t>
  </si>
  <si>
    <t xml:space="preserve">RESULT, WITH WEIGHTS UNTOUCHED AT 25/25/25/15/10. Top three: Daboia russelii 78.9, Bitis arietans 76.1, Echis carinatus 70.5. Inland taipan falls from 23rd to 59th; eastern brown from 1st to 10th. The three species that rose are the three most commonly named as the largest killers, and they rose from one definitional change with no fitting to mortality data of any kind. The standing instruction - do not tune the weights until the saw-scaled viper reaches the top - is satisfied without any tuning having taken place. Whether to tune at all is now a live question rather than a blocked one.</t>
  </si>
  <si>
    <t xml:space="preserve">TREATABILITY WAS DELIBERATELY NOT INVERTED. Flipping it would be as wrong as leaving it: the dimension needs replacing with an access measure - travel time to a facility actually holding stock - not reversing. Longbottom et al. (2018) carries that layer. Until it is in, Treatability stays as-is and flagged, and it is the reason Echis is third rather than first.</t>
  </si>
  <si>
    <t xml:space="preserve">CORRECTION TO THE v3.1 WRITE-UP. That pass claimed 53 rows would score higher by deleting their own data, and presented it as a defect. On testing it is a generic property of any weighted mean - removing a below-average value always raises the mean - and no scheme eliminates it (column-median imputation cuts the mean gain from +10.0 to +7.2 points, the midpoint floor to +7.8, both together to +5.6, never to zero). It is a reason to compare only rows with equal Dimensions Available. It is not a bug, and calling it one was wrong.</t>
  </si>
  <si>
    <t xml:space="preserve">--- v3.2a - 28 September 2026: Ranking Model sheet brought back into line with its own formulas ---</t>
  </si>
  <si>
    <t xml:space="preserve">User-reported, and correct: behaviour had been changed in three places - trimmed LD50 anchors, ordinal floor/ceiling, severity direction - while the sheet’s descriptive columns still documented the original model. D7 still quoted 0.02-714 as the potency scale when the anchors are now trimmed percentiles; C10 still called Severity "how fast envenoming progresses" when it now scores slow onset high by default; D9, D10 and D11 made no mention of the floor and ceiling at all. All rewritten against the live formulas.</t>
  </si>
  <si>
    <t xml:space="preserve">STRUCTURAL FIX SO IT CANNOT RECUR: three new columns in the weights block - Scale actually used, Effective swing, Share of total swing - computed from the score columns themselves rather than written as prose. A description written by hand rots the moment the formula under it changes, which is exactly what happened here.</t>
  </si>
  <si>
    <t xml:space="preserve">WHAT THOSE COLUMNS IMMEDIATELY EXPOSED. Declared weight is not influence:</t>
  </si>
  <si>
    <t xml:space="preserve">  Potency 25 -&gt; 28%   Quantity 25 -&gt; 28%   Encounter 25 -&gt; 23%   Severity 15 -&gt; 14%   Treatability 10 -&gt; 7%</t>
  </si>
  <si>
    <t xml:space="preserve">  Treatability under-delivers because ordinal 5 ("None") is used by no row - no species in this table is recorded as having no antivenom - so the top of its scale is unreachable and its real span is 10-70. 71 of 90 rows sit in ordinals 1 and 2. That is handover diagnosis #2 quantified: the dimension barely discriminates because antivenom EXISTENCE barely varies between species. Access does; existence does not.</t>
  </si>
  <si>
    <t xml:space="preserve">A SIDE EFFECT OF MY OWN v3.2 CHANGE, DISCLOSED. Raising the ordinal floor narrowed Encounter, Severity and Treatability to an 80-point span while leaving Potency and Quantity at 100. That shifted effective influence toward the two continuous dimensions - Potency plus Quantity went from 52% to 56% of total swing - without any weight being edited. The declared weights are untouched at 25/25/25/15/10. Set floor 0 and ceiling 100 to remove the shift.</t>
  </si>
  <si>
    <t xml:space="preserve">CONSEQUENCE FOR THE PLANNED PRESETS: weights entered into B7:B11 will not behave as percentages until the dimensions span comparable ranges. Either equalise the spans, or read column G rather than column B when setting them.</t>
  </si>
  <si>
    <t xml:space="preserve">LIVE QA CHECKS - every "check" row should read OK; "info" rows report counts.</t>
  </si>
  <si>
    <t xml:space="preserve">Carried over from v3.2 (the blank-fed-as-zero defect class) and extended to the source-sheet structure.</t>
  </si>
  <si>
    <t xml:space="preserve">Check</t>
  </si>
  <si>
    <t xml:space="preserve">Result</t>
  </si>
  <si>
    <t xml:space="preserve">Species without exactly one Used LD50 row</t>
  </si>
  <si>
    <t xml:space="preserve">Species with more than one Used yield row</t>
  </si>
  <si>
    <t xml:space="preserve">Species with more than one Used row per clinical measure</t>
  </si>
  <si>
    <t xml:space="preserve">LD50 source rows naming a species not on Species</t>
  </si>
  <si>
    <t xml:space="preserve">Yield source rows naming a species not on Species</t>
  </si>
  <si>
    <t xml:space="preserve">Clinical source rows naming a species not on Species</t>
  </si>
  <si>
    <t xml:space="preserve">Species missing from the Scores sheet</t>
  </si>
  <si>
    <t xml:space="preserve">Scores rows naming a species not on Species</t>
  </si>
  <si>
    <t xml:space="preserve">Duplicate scientific names on Species</t>
  </si>
  <si>
    <t xml:space="preserve">Any score or dimension below 0</t>
  </si>
  <si>
    <t xml:space="preserve">Any score or dimension above 100</t>
  </si>
  <si>
    <t xml:space="preserve">Onset values not in the Settings list</t>
  </si>
  <si>
    <t xml:space="preserve">Antivenom access values not in the Settings list</t>
  </si>
  <si>
    <t xml:space="preserve">Onset / access level tables with a blank or non-numeric ordinal</t>
  </si>
  <si>
    <t xml:space="preserve">Bite propensity outside whole numbers 1-5</t>
  </si>
  <si>
    <t xml:space="preserve">Encounter outside whole numbers 1-10</t>
  </si>
  <si>
    <t xml:space="preserve">LD50 values not positive</t>
  </si>
  <si>
    <t xml:space="preserve">Yield low greater than max</t>
  </si>
  <si>
    <t xml:space="preserve">Status values outside the allowed list (all source sheets)</t>
  </si>
  <si>
    <t xml:space="preserve">Venom Hazard weights sum above 0</t>
  </si>
  <si>
    <t xml:space="preserve">Human Risk weights sum above 0</t>
  </si>
  <si>
    <t xml:space="preserve">Ordinal floor/ceiling sane</t>
  </si>
  <si>
    <t xml:space="preserve">Onset direction recognised</t>
  </si>
  <si>
    <t xml:space="preserve">info: species with a Venom Hazard score</t>
  </si>
  <si>
    <t xml:space="preserve">info: species with a Human Risk score</t>
  </si>
  <si>
    <t xml:space="preserve">info: species whose LD50 sources differ by more than 1.5x</t>
  </si>
  <si>
    <t xml:space="preserve">info: species whose yield sources differ by more than 1.5x</t>
  </si>
  <si>
    <t xml:space="preserve">info: species with a non-SC LD50 route</t>
  </si>
  <si>
    <t xml:space="preserve">info: species without a bite propensity score</t>
  </si>
  <si>
    <t xml:space="preserve">info: Used LD50 rows at Tier D</t>
  </si>
  <si>
    <t xml:space="preserve">Scores species missing from the Combined sheet</t>
  </si>
  <si>
    <t xml:space="preserve">Combined rows naming a species not on Scores</t>
  </si>
  <si>
    <t xml:space="preserve">Combined weights sum above 0</t>
  </si>
  <si>
    <t xml:space="preserve">info: species with a Combined score</t>
  </si>
  <si>
    <t xml:space="preserve">Venom effect subtype marked without Hemotoxic (any)</t>
  </si>
  <si>
    <t xml:space="preserve">info: species with no venom effect recorded</t>
  </si>
  <si>
    <t xml:space="preserve">info: Hemotoxic species with no subtype recorded</t>
  </si>
</sst>
</file>

<file path=xl/styles.xml><?xml version="1.0" encoding="utf-8"?>
<styleSheet xmlns="http://schemas.openxmlformats.org/spreadsheetml/2006/main">
  <numFmts count="9">
    <numFmt numFmtId="164" formatCode="General"/>
    <numFmt numFmtId="165" formatCode="0.0"/>
    <numFmt numFmtId="166" formatCode="0"/>
    <numFmt numFmtId="167" formatCode="General"/>
    <numFmt numFmtId="168" formatCode="0.0##"/>
    <numFmt numFmtId="169" formatCode="#,##0.#"/>
    <numFmt numFmtId="170" formatCode="0.0###"/>
    <numFmt numFmtId="171" formatCode="#,##0"/>
    <numFmt numFmtId="172" formatCode="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i val="true"/>
      <sz val="10"/>
      <name val="Arial"/>
      <family val="0"/>
      <charset val="1"/>
    </font>
    <font>
      <sz val="10"/>
      <name val="Arial"/>
      <family val="0"/>
      <charset val="1"/>
    </font>
    <font>
      <b val="true"/>
      <sz val="10"/>
      <name val="Arial"/>
      <family val="0"/>
      <charset val="1"/>
    </font>
    <font>
      <sz val="10"/>
      <name val="Arial"/>
      <family val="2"/>
    </font>
    <font>
      <b val="true"/>
      <sz val="13"/>
      <color rgb="FF1F3864"/>
      <name val="Arial"/>
      <family val="0"/>
      <charset val="1"/>
    </font>
    <font>
      <b val="true"/>
      <sz val="11"/>
      <color rgb="FF1F3864"/>
      <name val="Arial"/>
      <family val="0"/>
      <charset val="1"/>
    </font>
  </fonts>
  <fills count="8">
    <fill>
      <patternFill patternType="none"/>
    </fill>
    <fill>
      <patternFill patternType="gray125"/>
    </fill>
    <fill>
      <patternFill patternType="solid">
        <fgColor rgb="FF1F3864"/>
        <bgColor rgb="FF1F4E78"/>
      </patternFill>
    </fill>
    <fill>
      <patternFill patternType="solid">
        <fgColor rgb="FF595959"/>
        <bgColor rgb="FF1F4E78"/>
      </patternFill>
    </fill>
    <fill>
      <patternFill patternType="solid">
        <fgColor rgb="FF1F4E78"/>
        <bgColor rgb="FF1F3864"/>
      </patternFill>
    </fill>
    <fill>
      <patternFill patternType="solid">
        <fgColor rgb="FFDDEBF7"/>
        <bgColor rgb="FFF2F2F2"/>
      </patternFill>
    </fill>
    <fill>
      <patternFill patternType="solid">
        <fgColor rgb="FFF2F2F2"/>
        <bgColor rgb="FFDDEBF7"/>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4" fillId="3" borderId="0" xfId="0" applyFont="true" applyBorder="false" applyAlignment="true" applyProtection="false">
      <alignment horizontal="general" vertical="center" textRotation="0" wrapText="true" indent="0" shrinkToFit="false"/>
      <protection locked="true" hidden="false"/>
    </xf>
    <xf numFmtId="164" fontId="4" fillId="4"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5" fontId="7" fillId="5" borderId="0" xfId="0" applyFont="true" applyBorder="false" applyAlignment="true" applyProtection="false">
      <alignment horizontal="general" vertical="top" textRotation="0" wrapText="false" indent="0" shrinkToFit="false"/>
      <protection locked="true" hidden="false"/>
    </xf>
    <xf numFmtId="166" fontId="6" fillId="0" borderId="0" xfId="0" applyFont="true" applyBorder="fals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general" vertical="top" textRotation="0" wrapText="false" indent="0" shrinkToFit="false"/>
      <protection locked="true" hidden="false"/>
    </xf>
    <xf numFmtId="167" fontId="6" fillId="6" borderId="0" xfId="0" applyFont="true" applyBorder="false" applyAlignment="true" applyProtection="false">
      <alignment horizontal="general" vertical="top" textRotation="0" wrapText="false" indent="0" shrinkToFit="false"/>
      <protection locked="true" hidden="false"/>
    </xf>
    <xf numFmtId="164" fontId="7" fillId="6"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5" fontId="7" fillId="5"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7" fontId="6" fillId="6" borderId="0" xfId="0" applyFont="true" applyBorder="false" applyAlignment="false" applyProtection="false">
      <alignment horizontal="general" vertical="bottom" textRotation="0" wrapText="false" indent="0" shrinkToFit="false"/>
      <protection locked="true" hidden="false"/>
    </xf>
    <xf numFmtId="168" fontId="6" fillId="6" borderId="0" xfId="0" applyFont="true" applyBorder="false" applyAlignment="true" applyProtection="false">
      <alignment horizontal="general" vertical="top" textRotation="0" wrapText="false" indent="0" shrinkToFit="false"/>
      <protection locked="true" hidden="false"/>
    </xf>
    <xf numFmtId="165" fontId="6" fillId="6" borderId="0" xfId="0" applyFont="true" applyBorder="false" applyAlignment="true" applyProtection="false">
      <alignment horizontal="general" vertical="top" textRotation="0" wrapText="false" indent="0" shrinkToFit="false"/>
      <protection locked="true" hidden="false"/>
    </xf>
    <xf numFmtId="169" fontId="6" fillId="6"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70" fontId="6" fillId="0" borderId="0" xfId="0" applyFont="true" applyBorder="false" applyAlignment="true" applyProtection="false">
      <alignment horizontal="general" vertical="top" textRotation="0" wrapText="false" indent="0" shrinkToFit="false"/>
      <protection locked="true" hidden="false"/>
    </xf>
    <xf numFmtId="169" fontId="6"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7" borderId="0" xfId="0" applyFont="true" applyBorder="false" applyAlignment="true" applyProtection="false">
      <alignment horizontal="general" vertical="top" textRotation="0" wrapText="true" indent="0" shrinkToFit="false"/>
      <protection locked="true" hidden="false"/>
    </xf>
    <xf numFmtId="171" fontId="6" fillId="0" borderId="0" xfId="0" applyFont="true" applyBorder="false" applyAlignment="true" applyProtection="false">
      <alignment horizontal="general" vertical="top" textRotation="0" wrapText="true" indent="0" shrinkToFit="false"/>
      <protection locked="true" hidden="false"/>
    </xf>
    <xf numFmtId="172" fontId="6" fillId="0" borderId="0" xfId="0" applyFont="true" applyBorder="false" applyAlignment="true" applyProtection="false">
      <alignment horizontal="general" vertical="top" textRotation="0" wrapText="true" indent="0" shrinkToFit="false"/>
      <protection locked="true" hidden="false"/>
    </xf>
    <xf numFmtId="170" fontId="6" fillId="0" borderId="0" xfId="0" applyFont="true" applyBorder="false" applyAlignment="true" applyProtection="false">
      <alignment horizontal="general" vertical="top" textRotation="0" wrapText="true" indent="0" shrinkToFit="false"/>
      <protection locked="true" hidden="false"/>
    </xf>
    <xf numFmtId="169" fontId="6"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72" fontId="0" fillId="0" borderId="0" xfId="0" applyFont="false" applyBorder="false" applyAlignment="true" applyProtection="false">
      <alignment horizontal="general" vertical="top"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595959"/>
          <bgColor rgb="FF000000"/>
        </patternFill>
      </fill>
    </dxf>
    <dxf>
      <fill>
        <patternFill patternType="solid">
          <fgColor rgb="FF1F4E78"/>
          <bgColor rgb="FF000000"/>
        </patternFill>
      </fill>
    </dxf>
    <dxf>
      <fill>
        <patternFill patternType="solid">
          <fgColor rgb="FFDDEBF7"/>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4.xml"/><Relationship Id="rId3"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5.xml"/><Relationship Id="rId3" Type="http://schemas.openxmlformats.org/officeDocument/2006/relationships/vmlDrawing" Target="../drawings/vmlDrawing6.v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26"/>
    <col collapsed="false" customWidth="true" hidden="false" outlineLevel="0" max="2" min="2" style="0" width="24"/>
    <col collapsed="false" customWidth="true" hidden="false" outlineLevel="0" max="3" min="3" style="0" width="11"/>
    <col collapsed="false" customWidth="true" hidden="false" outlineLevel="0" max="4" min="4" style="0" width="8"/>
    <col collapsed="false" customWidth="true" hidden="false" outlineLevel="0" max="5" min="5" style="0" width="11"/>
    <col collapsed="false" customWidth="true" hidden="false" outlineLevel="0" max="6" min="6" style="0" width="8"/>
    <col collapsed="false" customWidth="true" hidden="false" outlineLevel="0" max="7" min="7" style="0" width="9"/>
    <col collapsed="false" customWidth="true" hidden="false" outlineLevel="0" max="8" min="8" style="0" width="46"/>
    <col collapsed="false" customWidth="true" hidden="false" outlineLevel="0" max="9" min="9" style="0" width="20"/>
    <col collapsed="false" customWidth="true" hidden="false" outlineLevel="0" max="10" min="10" style="0" width="16.89"/>
    <col collapsed="false" customWidth="true" hidden="false" outlineLevel="0" max="18" min="11" style="0" width="11.11"/>
  </cols>
  <sheetData>
    <row r="1" customFormat="false" ht="42" hidden="false" customHeight="true" outlineLevel="0" collapsed="false">
      <c r="A1" s="1" t="s">
        <v>0</v>
      </c>
      <c r="B1" s="2" t="s">
        <v>1</v>
      </c>
      <c r="C1" s="3"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row>
    <row r="2" customFormat="false" ht="14.25" hidden="false" customHeight="true" outlineLevel="0" collapsed="false">
      <c r="A2" s="4" t="s">
        <v>18</v>
      </c>
      <c r="B2" s="5" t="str">
        <f aca="false">IFERROR(INDEX(Species!$B$2:$B$300,$R2),"NOT IN SPECIES")</f>
        <v>Russell's viper</v>
      </c>
      <c r="C2" s="6" t="n">
        <f aca="false">IF(w_pot+w_qty&lt;=0,"",IF(AND(OR(w_pot=0,ISNUMBER(K2)),OR(w_qty=0,ISNUMBER(L2))),(w_pot*N(K2)+w_qty*N(L2))/(w_pot*ISNUMBER(K2)+w_qty*ISNUMBER(L2)),IF(ISNUMBER(K2),"needs yield","needs LD50")))</f>
        <v>89.9245425579098</v>
      </c>
      <c r="D2" s="7" t="n">
        <f aca="false">IF(ISNUMBER(C2),RANK(C2,$C$2:$C$300),"")</f>
        <v>1</v>
      </c>
      <c r="E2" s="6" t="n">
        <f aca="false">IF(w_enc+w_bite+w_onset+w_access&lt;=0,"",IF(Q2&lt;min_dims,"insufficient data",(w_enc*N(M2)+w_bite*N(N2)+w_onset*N(O2)+w_access*N(P2))/(w_enc*ISNUMBER(M2)+w_bite*ISNUMBER(N2)+w_onset*ISNUMBER(O2)+w_access*ISNUMBER(P2))))</f>
        <v>73.0769230769231</v>
      </c>
      <c r="F2" s="7" t="n">
        <f aca="false">IF(ISNUMBER(E2),RANK(E2,$E$2:$E$300),"")</f>
        <v>2</v>
      </c>
      <c r="G2" s="8" t="str">
        <f aca="false">IFERROR(IF(OR(INDEX(Species!$I$2:$I$300,$R2)="",INDEX(Species!$M$2:$M$300,$R2)=""),"",CHAR(MAX(CODE(INDEX(Species!$I$2:$I$300,$R2)),CODE(INDEX(Species!$M$2:$M$300,$R2))))),"")</f>
        <v>C</v>
      </c>
      <c r="H2" s="9" t="str">
        <f aca="false">IFERROR(MID(IF(AND(ISNUMBER(INDEX(Species!$J$2:$J$300,$R2)),N(INDEX(Species!$J$2:$J$300,$R2))&gt;1.5),"; LD50 sources differ "&amp;TEXT(INDEX(Species!$J$2:$J$300,$R2),"0.0")&amp;"x","")&amp;IF(AND(INDEX(Species!$H$2:$H$300,$R2)&lt;&gt;"",INDEX(Species!$H$2:$H$300,$R2)&lt;&gt;"SC"),"; LD50 route "&amp;INDEX(Species!$H$2:$H$300,$R2),"")&amp;IF(INDEX(Species!$I$2:$I$300,$R2)="D","; LD50 Tier D","")&amp;IF(AND(ISNUMBER(INDEX(Species!$N$2:$N$300,$R2)),N(INDEX(Species!$N$2:$N$300,$R2))&gt;1.5),"; yield sources differ "&amp;TEXT(INDEX(Species!$N$2:$N$300,$R2),"0.0")&amp;"x","")&amp;IF(INDEX(Species!$M$2:$M$300,$R2)="D","; yield Tier D",""),3,300),"")</f>
        <v/>
      </c>
      <c r="I2" s="5" t="str">
        <f aca="false">IFERROR(INDEX(Species!$S$2:$S$300,$R2)&amp;"","")</f>
        <v/>
      </c>
      <c r="J2" s="5" t="str">
        <f aca="false">IFERROR(INDEX(Species!$T$2:$T$300,$R2)&amp;"","")</f>
        <v/>
      </c>
      <c r="K2" s="10" t="n">
        <f aca="false">IFERROR(MEDIAN(0,100*(LOG10(ld_least)-LOG10(INDEX(Species!$G$2:$G$300,$R2)))/(LOG10(ld_least)-LOG10(ld_most)),100),"")</f>
        <v>100</v>
      </c>
      <c r="L2" s="10" t="n">
        <f aca="false">IFERROR(MEDIAN(0,100*(LOG10(INDEX(Species!$L$2:$L$300,$R2))-LOG10(y_min))/(LOG10(y_max)-LOG10(y_min)),100),"")</f>
        <v>79.8490851158196</v>
      </c>
      <c r="M2" s="10" t="n">
        <f aca="false">IFERROR(IF(ISNUMBER(INDEX(Species!$O$2:$O$300,$R2)),ord_floor+(ord_ceil-ord_floor)*(INDEX(Species!$O$2:$O$300,$R2)-1)/9,""),"")</f>
        <v>90</v>
      </c>
      <c r="N2" s="10" t="n">
        <f aca="false">IFERROR(IF(ISNUMBER(INDEX(Species!$P$2:$P$300,$R2)),ord_floor+(ord_ceil-ord_floor)*(INDEX(Species!$P$2:$P$300,$R2)-1)/4,""),"")</f>
        <v>90</v>
      </c>
      <c r="O2" s="10" t="n">
        <f aca="false">IFERROR(IF(ISNUMBER(INDEX(onset_ord,MATCH(INDEX(Species!$Q$2:$Q$300,$R2),onset_labels,0))),ord_floor+(ord_ceil-ord_floor)*(IF(onset_dir="mortality",6-INDEX(onset_ord,MATCH(INDEX(Species!$Q$2:$Q$300,$R2),onset_labels,0)),INDEX(onset_ord,MATCH(INDEX(Species!$Q$2:$Q$300,$R2),onset_labels,0)))-1)/4,""),"")</f>
        <v>70</v>
      </c>
      <c r="P2" s="10" t="n">
        <f aca="false">IFERROR(IF(ISNUMBER(INDEX(access_ord,MATCH(INDEX(Species!$R$2:$R$300,$R2),access_labels,0))),ord_floor+(ord_ceil-ord_floor)*(INDEX(access_ord,MATCH(INDEX(Species!$R$2:$R$300,$R2),access_labels,0))-1)/4,""),"")</f>
        <v>10</v>
      </c>
      <c r="Q2" s="5" t="n">
        <f aca="false">ISNUMBER(M2)*(w_enc&gt;0)+ISNUMBER(N2)*(w_bite&gt;0)+ISNUMBER(O2)*(w_onset&gt;0)+ISNUMBER(P2)*(w_access&gt;0)</f>
        <v>4</v>
      </c>
      <c r="R2" s="11" t="n">
        <f aca="false">IFERROR(MATCH($A2,Species!$A$2:$A$300,0),"")</f>
        <v>1</v>
      </c>
    </row>
    <row r="3" customFormat="false" ht="14.25" hidden="false" customHeight="true" outlineLevel="0" collapsed="false">
      <c r="A3" s="4" t="s">
        <v>19</v>
      </c>
      <c r="B3" s="5" t="str">
        <f aca="false">IFERROR(INDEX(Species!$B$2:$B$300,$R3),"NOT IN SPECIES")</f>
        <v>Forest cobra</v>
      </c>
      <c r="C3" s="6" t="n">
        <f aca="false">IF(w_pot+w_qty&lt;=0,"",IF(AND(OR(w_pot=0,ISNUMBER(K3)),OR(w_qty=0,ISNUMBER(L3))),(w_pot*N(K3)+w_qty*N(L3))/(w_pot*ISNUMBER(K3)+w_qty*ISNUMBER(L3)),IF(ISNUMBER(K3),"needs yield","needs LD50")))</f>
        <v>89.652713765716</v>
      </c>
      <c r="D3" s="7" t="n">
        <f aca="false">IF(ISNUMBER(C3),RANK(C3,$C$2:$C$300),"")</f>
        <v>2</v>
      </c>
      <c r="E3" s="6" t="n">
        <f aca="false">IF(w_enc+w_bite+w_onset+w_access&lt;=0,"",IF(Q3&lt;min_dims,"insufficient data",(w_enc*N(M3)+w_bite*N(N3)+w_onset*N(O3)+w_access*N(P3))/(w_enc*ISNUMBER(M3)+w_bite*ISNUMBER(N3)+w_onset*ISNUMBER(O3)+w_access*ISNUMBER(P3))))</f>
        <v>33.7606837606838</v>
      </c>
      <c r="F3" s="7" t="n">
        <f aca="false">IF(ISNUMBER(E3),RANK(E3,$E$2:$E$300),"")</f>
        <v>73</v>
      </c>
      <c r="G3" s="8" t="str">
        <f aca="false">IFERROR(IF(OR(INDEX(Species!$I$2:$I$300,$R3)="",INDEX(Species!$M$2:$M$300,$R3)=""),"",CHAR(MAX(CODE(INDEX(Species!$I$2:$I$300,$R3)),CODE(INDEX(Species!$M$2:$M$300,$R3))))),"")</f>
        <v>C</v>
      </c>
      <c r="H3" s="9" t="str">
        <f aca="false">IFERROR(MID(IF(AND(ISNUMBER(INDEX(Species!$J$2:$J$300,$R3)),N(INDEX(Species!$J$2:$J$300,$R3))&gt;1.5),"; LD50 sources differ "&amp;TEXT(INDEX(Species!$J$2:$J$300,$R3),"0.0")&amp;"x","")&amp;IF(AND(INDEX(Species!$H$2:$H$300,$R3)&lt;&gt;"",INDEX(Species!$H$2:$H$300,$R3)&lt;&gt;"SC"),"; LD50 route "&amp;INDEX(Species!$H$2:$H$300,$R3),"")&amp;IF(INDEX(Species!$I$2:$I$300,$R3)="D","; LD50 Tier D","")&amp;IF(AND(ISNUMBER(INDEX(Species!$N$2:$N$300,$R3)),N(INDEX(Species!$N$2:$N$300,$R3))&gt;1.5),"; yield sources differ "&amp;TEXT(INDEX(Species!$N$2:$N$300,$R3),"0.0")&amp;"x","")&amp;IF(INDEX(Species!$M$2:$M$300,$R3)="D","; yield Tier D",""),3,300),"")</f>
        <v>LD50 sources differ 1.9x; yield sources differ 2.2x</v>
      </c>
      <c r="I3" s="5" t="str">
        <f aca="false">IFERROR(INDEX(Species!$S$2:$S$300,$R3)&amp;"","")</f>
        <v/>
      </c>
      <c r="J3" s="5" t="str">
        <f aca="false">IFERROR(INDEX(Species!$T$2:$T$300,$R3)&amp;"","")</f>
        <v/>
      </c>
      <c r="K3" s="10" t="n">
        <f aca="false">IFERROR(MEDIAN(0,100*(LOG10(ld_least)-LOG10(INDEX(Species!$G$2:$G$300,$R3)))/(LOG10(ld_least)-LOG10(ld_most)),100),"")</f>
        <v>79.305427531432</v>
      </c>
      <c r="L3" s="10" t="n">
        <f aca="false">IFERROR(MEDIAN(0,100*(LOG10(INDEX(Species!$L$2:$L$300,$R3))-LOG10(y_min))/(LOG10(y_max)-LOG10(y_min)),100),"")</f>
        <v>100</v>
      </c>
      <c r="M3" s="10" t="n">
        <f aca="false">IFERROR(IF(ISNUMBER(INDEX(Species!$O$2:$O$300,$R3)),ord_floor+(ord_ceil-ord_floor)*(INDEX(Species!$O$2:$O$300,$R3)-1)/9,""),"")</f>
        <v>27.7777777777778</v>
      </c>
      <c r="N3" s="10" t="n">
        <f aca="false">IFERROR(IF(ISNUMBER(INDEX(Species!$P$2:$P$300,$R3)),ord_floor+(ord_ceil-ord_floor)*(INDEX(Species!$P$2:$P$300,$R3)-1)/4,""),"")</f>
        <v>50</v>
      </c>
      <c r="O3" s="10" t="n">
        <f aca="false">IFERROR(IF(ISNUMBER(INDEX(onset_ord,MATCH(INDEX(Species!$Q$2:$Q$300,$R3),onset_labels,0))),ord_floor+(ord_ceil-ord_floor)*(IF(onset_dir="mortality",6-INDEX(onset_ord,MATCH(INDEX(Species!$Q$2:$Q$300,$R3),onset_labels,0)),INDEX(onset_ord,MATCH(INDEX(Species!$Q$2:$Q$300,$R3),onset_labels,0)))-1)/4,""),"")</f>
        <v>30</v>
      </c>
      <c r="P3" s="10" t="n">
        <f aca="false">IFERROR(IF(ISNUMBER(INDEX(access_ord,MATCH(INDEX(Species!$R$2:$R$300,$R3),access_labels,0))),ord_floor+(ord_ceil-ord_floor)*(INDEX(access_ord,MATCH(INDEX(Species!$R$2:$R$300,$R3),access_labels,0))-1)/4,""),"")</f>
        <v>30</v>
      </c>
      <c r="Q3" s="5" t="n">
        <f aca="false">ISNUMBER(M3)*(w_enc&gt;0)+ISNUMBER(N3)*(w_bite&gt;0)+ISNUMBER(O3)*(w_onset&gt;0)+ISNUMBER(P3)*(w_access&gt;0)</f>
        <v>4</v>
      </c>
      <c r="R3" s="11" t="n">
        <f aca="false">IFERROR(MATCH($A3,Species!$A$2:$A$300,0),"")</f>
        <v>52</v>
      </c>
    </row>
    <row r="4" customFormat="false" ht="14.25" hidden="false" customHeight="true" outlineLevel="0" collapsed="false">
      <c r="A4" s="4" t="s">
        <v>20</v>
      </c>
      <c r="B4" s="5" t="str">
        <f aca="false">IFERROR(INDEX(Species!$B$2:$B$300,$R4),"NOT IN SPECIES")</f>
        <v>Inland taipan</v>
      </c>
      <c r="C4" s="6" t="n">
        <f aca="false">IF(w_pot+w_qty&lt;=0,"",IF(AND(OR(w_pot=0,ISNUMBER(K4)),OR(w_qty=0,ISNUMBER(L4))),(w_pot*N(K4)+w_qty*N(L4))/(w_pot*ISNUMBER(K4)+w_qty*ISNUMBER(L4)),IF(ISNUMBER(K4),"needs yield","needs LD50")))</f>
        <v>84.3484085996372</v>
      </c>
      <c r="D4" s="7" t="n">
        <f aca="false">IF(ISNUMBER(C4),RANK(C4,$C$2:$C$300),"")</f>
        <v>4</v>
      </c>
      <c r="E4" s="6" t="n">
        <f aca="false">IF(w_enc+w_bite+w_onset+w_access&lt;=0,"",IF(Q4&lt;min_dims,"insufficient data",(w_enc*N(M4)+w_bite*N(N4)+w_onset*N(O4)+w_access*N(P4))/(w_enc*ISNUMBER(M4)+w_bite*ISNUMBER(N4)+w_onset*ISNUMBER(O4)+w_access*ISNUMBER(P4))))</f>
        <v>14.6153846153846</v>
      </c>
      <c r="F4" s="7" t="n">
        <f aca="false">IF(ISNUMBER(E4),RANK(E4,$E$2:$E$300),"")</f>
        <v>91</v>
      </c>
      <c r="G4" s="8" t="str">
        <f aca="false">IFERROR(IF(OR(INDEX(Species!$I$2:$I$300,$R4)="",INDEX(Species!$M$2:$M$300,$R4)=""),"",CHAR(MAX(CODE(INDEX(Species!$I$2:$I$300,$R4)),CODE(INDEX(Species!$M$2:$M$300,$R4))))),"")</f>
        <v>B</v>
      </c>
      <c r="H4" s="9" t="str">
        <f aca="false">IFERROR(MID(IF(AND(ISNUMBER(INDEX(Species!$J$2:$J$300,$R4)),N(INDEX(Species!$J$2:$J$300,$R4))&gt;1.5),"; LD50 sources differ "&amp;TEXT(INDEX(Species!$J$2:$J$300,$R4),"0.0")&amp;"x","")&amp;IF(AND(INDEX(Species!$H$2:$H$300,$R4)&lt;&gt;"",INDEX(Species!$H$2:$H$300,$R4)&lt;&gt;"SC"),"; LD50 route "&amp;INDEX(Species!$H$2:$H$300,$R4),"")&amp;IF(INDEX(Species!$I$2:$I$300,$R4)="D","; LD50 Tier D","")&amp;IF(AND(ISNUMBER(INDEX(Species!$N$2:$N$300,$R4)),N(INDEX(Species!$N$2:$N$300,$R4))&gt;1.5),"; yield sources differ "&amp;TEXT(INDEX(Species!$N$2:$N$300,$R4),"0.0")&amp;"x","")&amp;IF(INDEX(Species!$M$2:$M$300,$R4)="D","; yield Tier D",""),3,300),"")</f>
        <v/>
      </c>
      <c r="I4" s="5" t="str">
        <f aca="false">IFERROR(INDEX(Species!$S$2:$S$300,$R4)&amp;"","")</f>
        <v>0 (Australia, 2005-2015)</v>
      </c>
      <c r="J4" s="5" t="str">
        <f aca="false">IFERROR(INDEX(Species!$T$2:$T$300,$R4)&amp;"","")</f>
        <v/>
      </c>
      <c r="K4" s="10" t="n">
        <f aca="false">IFERROR(MEDIAN(0,100*(LOG10(ld_least)-LOG10(INDEX(Species!$G$2:$G$300,$R4)))/(LOG10(ld_least)-LOG10(ld_most)),100),"")</f>
        <v>100</v>
      </c>
      <c r="L4" s="10" t="n">
        <f aca="false">IFERROR(MEDIAN(0,100*(LOG10(INDEX(Species!$L$2:$L$300,$R4))-LOG10(y_min))/(LOG10(y_max)-LOG10(y_min)),100),"")</f>
        <v>68.6968171992745</v>
      </c>
      <c r="M4" s="10" t="n">
        <f aca="false">IFERROR(IF(ISNUMBER(INDEX(Species!$O$2:$O$300,$R4)),ord_floor+(ord_ceil-ord_floor)*(INDEX(Species!$O$2:$O$300,$R4)-1)/9,""),"")</f>
        <v>10</v>
      </c>
      <c r="N4" s="10" t="n">
        <f aca="false">IFERROR(IF(ISNUMBER(INDEX(Species!$P$2:$P$300,$R4)),ord_floor+(ord_ceil-ord_floor)*(INDEX(Species!$P$2:$P$300,$R4)-1)/4,""),"")</f>
        <v>30</v>
      </c>
      <c r="O4" s="10" t="n">
        <f aca="false">IFERROR(IF(ISNUMBER(INDEX(onset_ord,MATCH(INDEX(Species!$Q$2:$Q$300,$R4),onset_labels,0))),ord_floor+(ord_ceil-ord_floor)*(IF(onset_dir="mortality",6-INDEX(onset_ord,MATCH(INDEX(Species!$Q$2:$Q$300,$R4),onset_labels,0)),INDEX(onset_ord,MATCH(INDEX(Species!$Q$2:$Q$300,$R4),onset_labels,0)))-1)/4,""),"")</f>
        <v>10</v>
      </c>
      <c r="P4" s="10" t="n">
        <f aca="false">IFERROR(IF(ISNUMBER(INDEX(access_ord,MATCH(INDEX(Species!$R$2:$R$300,$R4),access_labels,0))),ord_floor+(ord_ceil-ord_floor)*(INDEX(access_ord,MATCH(INDEX(Species!$R$2:$R$300,$R4),access_labels,0))-1)/4,""),"")</f>
        <v>10</v>
      </c>
      <c r="Q4" s="5" t="n">
        <f aca="false">ISNUMBER(M4)*(w_enc&gt;0)+ISNUMBER(N4)*(w_bite&gt;0)+ISNUMBER(O4)*(w_onset&gt;0)+ISNUMBER(P4)*(w_access&gt;0)</f>
        <v>4</v>
      </c>
      <c r="R4" s="11" t="n">
        <f aca="false">IFERROR(MATCH($A4,Species!$A$2:$A$300,0),"")</f>
        <v>5</v>
      </c>
    </row>
    <row r="5" customFormat="false" ht="14.25" hidden="false" customHeight="true" outlineLevel="0" collapsed="false">
      <c r="A5" s="4" t="s">
        <v>21</v>
      </c>
      <c r="B5" s="5" t="str">
        <f aca="false">IFERROR(INDEX(Species!$B$2:$B$300,$R5),"NOT IN SPECIES")</f>
        <v>Coastal taipan</v>
      </c>
      <c r="C5" s="6" t="n">
        <f aca="false">IF(w_pot+w_qty&lt;=0,"",IF(AND(OR(w_pot=0,ISNUMBER(K5)),OR(w_qty=0,ISNUMBER(L5))),(w_pot*N(K5)+w_qty*N(L5))/(w_pot*ISNUMBER(K5)+w_qty*ISNUMBER(L5)),IF(ISNUMBER(K5),"needs yield","needs LD50")))</f>
        <v>84.5244847222582</v>
      </c>
      <c r="D5" s="7" t="n">
        <f aca="false">IF(ISNUMBER(C5),RANK(C5,$C$2:$C$300),"")</f>
        <v>3</v>
      </c>
      <c r="E5" s="6" t="n">
        <f aca="false">IF(w_enc+w_bite+w_onset+w_access&lt;=0,"",IF(Q5&lt;min_dims,"insufficient data",(w_enc*N(M5)+w_bite*N(N5)+w_onset*N(O5)+w_access*N(P5))/(w_enc*ISNUMBER(M5)+w_bite*ISNUMBER(N5)+w_onset*ISNUMBER(O5)+w_access*ISNUMBER(P5))))</f>
        <v>37.5213675213675</v>
      </c>
      <c r="F5" s="7" t="n">
        <f aca="false">IF(ISNUMBER(E5),RANK(E5,$E$2:$E$300),"")</f>
        <v>63</v>
      </c>
      <c r="G5" s="8" t="str">
        <f aca="false">IFERROR(IF(OR(INDEX(Species!$I$2:$I$300,$R5)="",INDEX(Species!$M$2:$M$300,$R5)=""),"",CHAR(MAX(CODE(INDEX(Species!$I$2:$I$300,$R5)),CODE(INDEX(Species!$M$2:$M$300,$R5))))),"")</f>
        <v>C</v>
      </c>
      <c r="H5" s="9" t="str">
        <f aca="false">IFERROR(MID(IF(AND(ISNUMBER(INDEX(Species!$J$2:$J$300,$R5)),N(INDEX(Species!$J$2:$J$300,$R5))&gt;1.5),"; LD50 sources differ "&amp;TEXT(INDEX(Species!$J$2:$J$300,$R5),"0.0")&amp;"x","")&amp;IF(AND(INDEX(Species!$H$2:$H$300,$R5)&lt;&gt;"",INDEX(Species!$H$2:$H$300,$R5)&lt;&gt;"SC"),"; LD50 route "&amp;INDEX(Species!$H$2:$H$300,$R5),"")&amp;IF(INDEX(Species!$I$2:$I$300,$R5)="D","; LD50 Tier D","")&amp;IF(AND(ISNUMBER(INDEX(Species!$N$2:$N$300,$R5)),N(INDEX(Species!$N$2:$N$300,$R5))&gt;1.5),"; yield sources differ "&amp;TEXT(INDEX(Species!$N$2:$N$300,$R5),"0.0")&amp;"x","")&amp;IF(INDEX(Species!$M$2:$M$300,$R5)="D","; yield Tier D",""),3,300),"")</f>
        <v/>
      </c>
      <c r="I5" s="5" t="str">
        <f aca="false">IFERROR(INDEX(Species!$S$2:$S$300,$R5)&amp;"","")</f>
        <v/>
      </c>
      <c r="J5" s="5" t="str">
        <f aca="false">IFERROR(INDEX(Species!$T$2:$T$300,$R5)&amp;"","")</f>
        <v/>
      </c>
      <c r="K5" s="10" t="n">
        <f aca="false">IFERROR(MEDIAN(0,100*(LOG10(ld_least)-LOG10(INDEX(Species!$G$2:$G$300,$R5)))/(LOG10(ld_least)-LOG10(ld_most)),100),"")</f>
        <v>82.8153160440011</v>
      </c>
      <c r="L5" s="10" t="n">
        <f aca="false">IFERROR(MEDIAN(0,100*(LOG10(INDEX(Species!$L$2:$L$300,$R5))-LOG10(y_min))/(LOG10(y_max)-LOG10(y_min)),100),"")</f>
        <v>86.2336534005153</v>
      </c>
      <c r="M5" s="10" t="n">
        <f aca="false">IFERROR(IF(ISNUMBER(INDEX(Species!$O$2:$O$300,$R5)),ord_floor+(ord_ceil-ord_floor)*(INDEX(Species!$O$2:$O$300,$R5)-1)/9,""),"")</f>
        <v>45.5555555555556</v>
      </c>
      <c r="N5" s="10" t="n">
        <f aca="false">IFERROR(IF(ISNUMBER(INDEX(Species!$P$2:$P$300,$R5)),ord_floor+(ord_ceil-ord_floor)*(INDEX(Species!$P$2:$P$300,$R5)-1)/4,""),"")</f>
        <v>50</v>
      </c>
      <c r="O5" s="10" t="n">
        <f aca="false">IFERROR(IF(ISNUMBER(INDEX(onset_ord,MATCH(INDEX(Species!$Q$2:$Q$300,$R5),onset_labels,0))),ord_floor+(ord_ceil-ord_floor)*(IF(onset_dir="mortality",6-INDEX(onset_ord,MATCH(INDEX(Species!$Q$2:$Q$300,$R5),onset_labels,0)),INDEX(onset_ord,MATCH(INDEX(Species!$Q$2:$Q$300,$R5),onset_labels,0)))-1)/4,""),"")</f>
        <v>30</v>
      </c>
      <c r="P5" s="10" t="n">
        <f aca="false">IFERROR(IF(ISNUMBER(INDEX(access_ord,MATCH(INDEX(Species!$R$2:$R$300,$R5),access_labels,0))),ord_floor+(ord_ceil-ord_floor)*(INDEX(access_ord,MATCH(INDEX(Species!$R$2:$R$300,$R5),access_labels,0))-1)/4,""),"")</f>
        <v>10</v>
      </c>
      <c r="Q5" s="5" t="n">
        <f aca="false">ISNUMBER(M5)*(w_enc&gt;0)+ISNUMBER(N5)*(w_bite&gt;0)+ISNUMBER(O5)*(w_onset&gt;0)+ISNUMBER(P5)*(w_access&gt;0)</f>
        <v>4</v>
      </c>
      <c r="R5" s="11" t="n">
        <f aca="false">IFERROR(MATCH($A5,Species!$A$2:$A$300,0),"")</f>
        <v>3</v>
      </c>
    </row>
    <row r="6" customFormat="false" ht="14.25" hidden="false" customHeight="true" outlineLevel="0" collapsed="false">
      <c r="A6" s="4" t="s">
        <v>22</v>
      </c>
      <c r="B6" s="5" t="str">
        <f aca="false">IFERROR(INDEX(Species!$B$2:$B$300,$R6),"NOT IN SPECIES")</f>
        <v>Gaboon viper</v>
      </c>
      <c r="C6" s="6" t="n">
        <f aca="false">IF(w_pot+w_qty&lt;=0,"",IF(AND(OR(w_pot=0,ISNUMBER(K6)),OR(w_qty=0,ISNUMBER(L6))),(w_pot*N(K6)+w_qty*N(L6))/(w_pot*ISNUMBER(K6)+w_qty*ISNUMBER(L6)),IF(ISNUMBER(K6),"needs yield","needs LD50")))</f>
        <v>84.1172113452588</v>
      </c>
      <c r="D6" s="7" t="n">
        <f aca="false">IF(ISNUMBER(C6),RANK(C6,$C$2:$C$300),"")</f>
        <v>5</v>
      </c>
      <c r="E6" s="6" t="n">
        <f aca="false">IF(w_enc+w_bite+w_onset+w_access&lt;=0,"",IF(Q6&lt;min_dims,"insufficient data",(w_enc*N(M6)+w_bite*N(N6)+w_onset*N(O6)+w_access*N(P6))/(w_enc*ISNUMBER(M6)+w_bite*ISNUMBER(N6)+w_onset*ISNUMBER(O6)+w_access*ISNUMBER(P6))))</f>
        <v>42.991452991453</v>
      </c>
      <c r="F6" s="7" t="n">
        <f aca="false">IF(ISNUMBER(E6),RANK(E6,$E$2:$E$300),"")</f>
        <v>47</v>
      </c>
      <c r="G6" s="8" t="str">
        <f aca="false">IFERROR(IF(OR(INDEX(Species!$I$2:$I$300,$R6)="",INDEX(Species!$M$2:$M$300,$R6)=""),"",CHAR(MAX(CODE(INDEX(Species!$I$2:$I$300,$R6)),CODE(INDEX(Species!$M$2:$M$300,$R6))))),"")</f>
        <v>C</v>
      </c>
      <c r="H6" s="9" t="str">
        <f aca="false">IFERROR(MID(IF(AND(ISNUMBER(INDEX(Species!$J$2:$J$300,$R6)),N(INDEX(Species!$J$2:$J$300,$R6))&gt;1.5),"; LD50 sources differ "&amp;TEXT(INDEX(Species!$J$2:$J$300,$R6),"0.0")&amp;"x","")&amp;IF(AND(INDEX(Species!$H$2:$H$300,$R6)&lt;&gt;"",INDEX(Species!$H$2:$H$300,$R6)&lt;&gt;"SC"),"; LD50 route "&amp;INDEX(Species!$H$2:$H$300,$R6),"")&amp;IF(INDEX(Species!$I$2:$I$300,$R6)="D","; LD50 Tier D","")&amp;IF(AND(ISNUMBER(INDEX(Species!$N$2:$N$300,$R6)),N(INDEX(Species!$N$2:$N$300,$R6))&gt;1.5),"; yield sources differ "&amp;TEXT(INDEX(Species!$N$2:$N$300,$R6),"0.0")&amp;"x","")&amp;IF(INDEX(Species!$M$2:$M$300,$R6)="D","; yield Tier D",""),3,300),"")</f>
        <v/>
      </c>
      <c r="I6" s="5" t="str">
        <f aca="false">IFERROR(INDEX(Species!$S$2:$S$300,$R6)&amp;"","")</f>
        <v/>
      </c>
      <c r="J6" s="5" t="str">
        <f aca="false">IFERROR(INDEX(Species!$T$2:$T$300,$R6)&amp;"","")</f>
        <v/>
      </c>
      <c r="K6" s="10" t="n">
        <f aca="false">IFERROR(MEDIAN(0,100*(LOG10(ld_least)-LOG10(INDEX(Species!$G$2:$G$300,$R6)))/(LOG10(ld_least)-LOG10(ld_most)),100),"")</f>
        <v>76.4928976296654</v>
      </c>
      <c r="L6" s="10" t="n">
        <f aca="false">IFERROR(MEDIAN(0,100*(LOG10(INDEX(Species!$L$2:$L$300,$R6))-LOG10(y_min))/(LOG10(y_max)-LOG10(y_min)),100),"")</f>
        <v>91.7415250608522</v>
      </c>
      <c r="M6" s="10" t="n">
        <f aca="false">IFERROR(IF(ISNUMBER(INDEX(Species!$O$2:$O$300,$R6)),ord_floor+(ord_ceil-ord_floor)*(INDEX(Species!$O$2:$O$300,$R6)-1)/9,""),"")</f>
        <v>27.7777777777778</v>
      </c>
      <c r="N6" s="10" t="n">
        <f aca="false">IFERROR(IF(ISNUMBER(INDEX(Species!$P$2:$P$300,$R6)),ord_floor+(ord_ceil-ord_floor)*(INDEX(Species!$P$2:$P$300,$R6)-1)/4,""),"")</f>
        <v>30</v>
      </c>
      <c r="O6" s="10" t="n">
        <f aca="false">IFERROR(IF(ISNUMBER(INDEX(onset_ord,MATCH(INDEX(Species!$Q$2:$Q$300,$R6),onset_labels,0))),ord_floor+(ord_ceil-ord_floor)*(IF(onset_dir="mortality",6-INDEX(onset_ord,MATCH(INDEX(Species!$Q$2:$Q$300,$R6),onset_labels,0)),INDEX(onset_ord,MATCH(INDEX(Species!$Q$2:$Q$300,$R6),onset_labels,0)))-1)/4,""),"")</f>
        <v>90</v>
      </c>
      <c r="P6" s="10" t="n">
        <f aca="false">IFERROR(IF(ISNUMBER(INDEX(access_ord,MATCH(INDEX(Species!$R$2:$R$300,$R6),access_labels,0))),ord_floor+(ord_ceil-ord_floor)*(INDEX(access_ord,MATCH(INDEX(Species!$R$2:$R$300,$R6),access_labels,0))-1)/4,""),"")</f>
        <v>30</v>
      </c>
      <c r="Q6" s="5" t="n">
        <f aca="false">ISNUMBER(M6)*(w_enc&gt;0)+ISNUMBER(N6)*(w_bite&gt;0)+ISNUMBER(O6)*(w_onset&gt;0)+ISNUMBER(P6)*(w_access&gt;0)</f>
        <v>4</v>
      </c>
      <c r="R6" s="11" t="n">
        <f aca="false">IFERROR(MATCH($A6,Species!$A$2:$A$300,0),"")</f>
        <v>2</v>
      </c>
    </row>
    <row r="7" customFormat="false" ht="14.25" hidden="false" customHeight="true" outlineLevel="0" collapsed="false">
      <c r="A7" s="4" t="s">
        <v>23</v>
      </c>
      <c r="B7" s="5" t="str">
        <f aca="false">IFERROR(INDEX(Species!$B$2:$B$300,$R7),"NOT IN SPECIES")</f>
        <v>Hook-nosed sea snake</v>
      </c>
      <c r="C7" s="6" t="n">
        <f aca="false">IF(w_pot+w_qty&lt;=0,"",IF(AND(OR(w_pot=0,ISNUMBER(K7)),OR(w_qty=0,ISNUMBER(L7))),(w_pot*N(K7)+w_qty*N(L7))/(w_pot*ISNUMBER(K7)+w_qty*ISNUMBER(L7)),IF(ISNUMBER(K7),"needs yield","needs LD50")))</f>
        <v>68.9030463227903</v>
      </c>
      <c r="D7" s="7" t="n">
        <f aca="false">IF(ISNUMBER(C7),RANK(C7,$C$2:$C$300),"")</f>
        <v>20</v>
      </c>
      <c r="E7" s="6" t="n">
        <f aca="false">IF(w_enc+w_bite+w_onset+w_access&lt;=0,"",IF(Q7&lt;min_dims,"insufficient data",(w_enc*N(M7)+w_bite*N(N7)+w_onset*N(O7)+w_access*N(P7))/(w_enc*ISNUMBER(M7)+w_bite*ISNUMBER(N7)+w_onset*ISNUMBER(O7)+w_access*ISNUMBER(P7))))</f>
        <v>25.3846153846154</v>
      </c>
      <c r="F7" s="7" t="n">
        <f aca="false">IF(ISNUMBER(E7),RANK(E7,$E$2:$E$300),"")</f>
        <v>84</v>
      </c>
      <c r="G7" s="8" t="str">
        <f aca="false">IFERROR(IF(OR(INDEX(Species!$I$2:$I$300,$R7)="",INDEX(Species!$M$2:$M$300,$R7)=""),"",CHAR(MAX(CODE(INDEX(Species!$I$2:$I$300,$R7)),CODE(INDEX(Species!$M$2:$M$300,$R7))))),"")</f>
        <v>C</v>
      </c>
      <c r="H7" s="9" t="str">
        <f aca="false">IFERROR(MID(IF(AND(ISNUMBER(INDEX(Species!$J$2:$J$300,$R7)),N(INDEX(Species!$J$2:$J$300,$R7))&gt;1.5),"; LD50 sources differ "&amp;TEXT(INDEX(Species!$J$2:$J$300,$R7),"0.0")&amp;"x","")&amp;IF(AND(INDEX(Species!$H$2:$H$300,$R7)&lt;&gt;"",INDEX(Species!$H$2:$H$300,$R7)&lt;&gt;"SC"),"; LD50 route "&amp;INDEX(Species!$H$2:$H$300,$R7),"")&amp;IF(INDEX(Species!$I$2:$I$300,$R7)="D","; LD50 Tier D","")&amp;IF(AND(ISNUMBER(INDEX(Species!$N$2:$N$300,$R7)),N(INDEX(Species!$N$2:$N$300,$R7))&gt;1.5),"; yield sources differ "&amp;TEXT(INDEX(Species!$N$2:$N$300,$R7),"0.0")&amp;"x","")&amp;IF(INDEX(Species!$M$2:$M$300,$R7)="D","; yield Tier D",""),3,300),"")</f>
        <v>LD50 sources differ 8.2x</v>
      </c>
      <c r="I7" s="5" t="str">
        <f aca="false">IFERROR(INDEX(Species!$S$2:$S$300,$R7)&amp;"","")</f>
        <v/>
      </c>
      <c r="J7" s="5" t="str">
        <f aca="false">IFERROR(INDEX(Species!$T$2:$T$300,$R7)&amp;"","")</f>
        <v/>
      </c>
      <c r="K7" s="10" t="n">
        <f aca="false">IFERROR(MEDIAN(0,100*(LOG10(ld_least)-LOG10(INDEX(Species!$G$2:$G$300,$R7)))/(LOG10(ld_least)-LOG10(ld_most)),100),"")</f>
        <v>73.6060485652121</v>
      </c>
      <c r="L7" s="10" t="n">
        <f aca="false">IFERROR(MEDIAN(0,100*(LOG10(INDEX(Species!$L$2:$L$300,$R7))-LOG10(y_min))/(LOG10(y_max)-LOG10(y_min)),100),"")</f>
        <v>64.2000440803686</v>
      </c>
      <c r="M7" s="10" t="n">
        <f aca="false">IFERROR(IF(ISNUMBER(INDEX(Species!$O$2:$O$300,$R7)),ord_floor+(ord_ceil-ord_floor)*(INDEX(Species!$O$2:$O$300,$R7)-1)/9,""),"")</f>
        <v>10</v>
      </c>
      <c r="N7" s="10" t="n">
        <f aca="false">IFERROR(IF(ISNUMBER(INDEX(Species!$P$2:$P$300,$R7)),ord_floor+(ord_ceil-ord_floor)*(INDEX(Species!$P$2:$P$300,$R7)-1)/4,""),"")</f>
        <v>10</v>
      </c>
      <c r="O7" s="10" t="n">
        <f aca="false">IFERROR(IF(ISNUMBER(INDEX(onset_ord,MATCH(INDEX(Species!$Q$2:$Q$300,$R7),onset_labels,0))),ord_floor+(ord_ceil-ord_floor)*(IF(onset_dir="mortality",6-INDEX(onset_ord,MATCH(INDEX(Species!$Q$2:$Q$300,$R7),onset_labels,0)),INDEX(onset_ord,MATCH(INDEX(Species!$Q$2:$Q$300,$R7),onset_labels,0)))-1)/4,""),"")</f>
        <v>50</v>
      </c>
      <c r="P7" s="10" t="n">
        <f aca="false">IFERROR(IF(ISNUMBER(INDEX(access_ord,MATCH(INDEX(Species!$R$2:$R$300,$R7),access_labels,0))),ord_floor+(ord_ceil-ord_floor)*(INDEX(access_ord,MATCH(INDEX(Species!$R$2:$R$300,$R7),access_labels,0))-1)/4,""),"")</f>
        <v>50</v>
      </c>
      <c r="Q7" s="5" t="n">
        <f aca="false">ISNUMBER(M7)*(w_enc&gt;0)+ISNUMBER(N7)*(w_bite&gt;0)+ISNUMBER(O7)*(w_onset&gt;0)+ISNUMBER(P7)*(w_access&gt;0)</f>
        <v>4</v>
      </c>
      <c r="R7" s="11" t="n">
        <f aca="false">IFERROR(MATCH($A7,Species!$A$2:$A$300,0),"")</f>
        <v>4</v>
      </c>
    </row>
    <row r="8" customFormat="false" ht="26.25" hidden="false" customHeight="true" outlineLevel="0" collapsed="false">
      <c r="A8" s="4" t="s">
        <v>24</v>
      </c>
      <c r="B8" s="5" t="str">
        <f aca="false">IFERROR(INDEX(Species!$B$2:$B$300,$R8),"NOT IN SPECIES")</f>
        <v>Black mamba</v>
      </c>
      <c r="C8" s="6" t="n">
        <f aca="false">IF(w_pot+w_qty&lt;=0,"",IF(AND(OR(w_pot=0,ISNUMBER(K8)),OR(w_qty=0,ISNUMBER(L8))),(w_pot*N(K8)+w_qty*N(L8))/(w_pot*ISNUMBER(K8)+w_qty*ISNUMBER(L8)),IF(ISNUMBER(K8),"needs yield","needs LD50")))</f>
        <v>81.3403793354145</v>
      </c>
      <c r="D8" s="7" t="n">
        <f aca="false">IF(ISNUMBER(C8),RANK(C8,$C$2:$C$300),"")</f>
        <v>6</v>
      </c>
      <c r="E8" s="6" t="n">
        <f aca="false">IF(w_enc+w_bite+w_onset+w_access&lt;=0,"",IF(Q8&lt;min_dims,"insufficient data",(w_enc*N(M8)+w_bite*N(N8)+w_onset*N(O8)+w_access*N(P8))/(w_enc*ISNUMBER(M8)+w_bite*ISNUMBER(N8)+w_onset*ISNUMBER(O8)+w_access*ISNUMBER(P8))))</f>
        <v>40.5982905982906</v>
      </c>
      <c r="F8" s="7" t="n">
        <f aca="false">IF(ISNUMBER(E8),RANK(E8,$E$2:$E$300),"")</f>
        <v>55</v>
      </c>
      <c r="G8" s="8" t="str">
        <f aca="false">IFERROR(IF(OR(INDEX(Species!$I$2:$I$300,$R8)="",INDEX(Species!$M$2:$M$300,$R8)=""),"",CHAR(MAX(CODE(INDEX(Species!$I$2:$I$300,$R8)),CODE(INDEX(Species!$M$2:$M$300,$R8))))),"")</f>
        <v>D</v>
      </c>
      <c r="H8" s="9" t="str">
        <f aca="false">IFERROR(MID(IF(AND(ISNUMBER(INDEX(Species!$J$2:$J$300,$R8)),N(INDEX(Species!$J$2:$J$300,$R8))&gt;1.5),"; LD50 sources differ "&amp;TEXT(INDEX(Species!$J$2:$J$300,$R8),"0.0")&amp;"x","")&amp;IF(AND(INDEX(Species!$H$2:$H$300,$R8)&lt;&gt;"",INDEX(Species!$H$2:$H$300,$R8)&lt;&gt;"SC"),"; LD50 route "&amp;INDEX(Species!$H$2:$H$300,$R8),"")&amp;IF(INDEX(Species!$I$2:$I$300,$R8)="D","; LD50 Tier D","")&amp;IF(AND(ISNUMBER(INDEX(Species!$N$2:$N$300,$R8)),N(INDEX(Species!$N$2:$N$300,$R8))&gt;1.5),"; yield sources differ "&amp;TEXT(INDEX(Species!$N$2:$N$300,$R8),"0.0")&amp;"x","")&amp;IF(INDEX(Species!$M$2:$M$300,$R8)="D","; yield Tier D",""),3,300),"")</f>
        <v>LD50 sources differ 6.4x; LD50 Tier D; yield sources differ 4.0x</v>
      </c>
      <c r="I8" s="5" t="str">
        <f aca="false">IFERROR(INDEX(Species!$S$2:$S$300,$R8)&amp;"","")</f>
        <v/>
      </c>
      <c r="J8" s="5" t="str">
        <f aca="false">IFERROR(INDEX(Species!$T$2:$T$300,$R8)&amp;"","")</f>
        <v/>
      </c>
      <c r="K8" s="10" t="n">
        <f aca="false">IFERROR(MEDIAN(0,100*(LOG10(ld_least)-LOG10(INDEX(Species!$G$2:$G$300,$R8)))/(LOG10(ld_least)-LOG10(ld_most)),100),"")</f>
        <v>95.2786428596352</v>
      </c>
      <c r="L8" s="10" t="n">
        <f aca="false">IFERROR(MEDIAN(0,100*(LOG10(INDEX(Species!$L$2:$L$300,$R8))-LOG10(y_min))/(LOG10(y_max)-LOG10(y_min)),100),"")</f>
        <v>67.4021158111939</v>
      </c>
      <c r="M8" s="10" t="n">
        <f aca="false">IFERROR(IF(ISNUMBER(INDEX(Species!$O$2:$O$300,$R8)),ord_floor+(ord_ceil-ord_floor)*(INDEX(Species!$O$2:$O$300,$R8)-1)/9,""),"")</f>
        <v>45.5555555555556</v>
      </c>
      <c r="N8" s="10" t="n">
        <f aca="false">IFERROR(IF(ISNUMBER(INDEX(Species!$P$2:$P$300,$R8)),ord_floor+(ord_ceil-ord_floor)*(INDEX(Species!$P$2:$P$300,$R8)-1)/4,""),"")</f>
        <v>70</v>
      </c>
      <c r="O8" s="10" t="n">
        <f aca="false">IFERROR(IF(ISNUMBER(INDEX(onset_ord,MATCH(INDEX(Species!$Q$2:$Q$300,$R8),onset_labels,0))),ord_floor+(ord_ceil-ord_floor)*(IF(onset_dir="mortality",6-INDEX(onset_ord,MATCH(INDEX(Species!$Q$2:$Q$300,$R8),onset_labels,0)),INDEX(onset_ord,MATCH(INDEX(Species!$Q$2:$Q$300,$R8),onset_labels,0)))-1)/4,""),"")</f>
        <v>10</v>
      </c>
      <c r="P8" s="10" t="n">
        <f aca="false">IFERROR(IF(ISNUMBER(INDEX(access_ord,MATCH(INDEX(Species!$R$2:$R$300,$R8),access_labels,0))),ord_floor+(ord_ceil-ord_floor)*(INDEX(access_ord,MATCH(INDEX(Species!$R$2:$R$300,$R8),access_labels,0))-1)/4,""),"")</f>
        <v>30</v>
      </c>
      <c r="Q8" s="5" t="n">
        <f aca="false">ISNUMBER(M8)*(w_enc&gt;0)+ISNUMBER(N8)*(w_bite&gt;0)+ISNUMBER(O8)*(w_onset&gt;0)+ISNUMBER(P8)*(w_access&gt;0)</f>
        <v>4</v>
      </c>
      <c r="R8" s="11" t="n">
        <f aca="false">IFERROR(MATCH($A8,Species!$A$2:$A$300,0),"")</f>
        <v>7</v>
      </c>
    </row>
    <row r="9" customFormat="false" ht="14.25" hidden="false" customHeight="true" outlineLevel="0" collapsed="false">
      <c r="A9" s="4" t="s">
        <v>25</v>
      </c>
      <c r="B9" s="5" t="str">
        <f aca="false">IFERROR(INDEX(Species!$B$2:$B$300,$R9),"NOT IN SPECIES")</f>
        <v>Puff adder</v>
      </c>
      <c r="C9" s="6" t="n">
        <f aca="false">IF(w_pot+w_qty&lt;=0,"",IF(AND(OR(w_pot=0,ISNUMBER(K9)),OR(w_qty=0,ISNUMBER(L9))),(w_pot*N(K9)+w_qty*N(L9))/(w_pot*ISNUMBER(K9)+w_qty*ISNUMBER(L9)),IF(ISNUMBER(K9),"needs yield","needs LD50")))</f>
        <v>80.4563247584228</v>
      </c>
      <c r="D9" s="7" t="n">
        <f aca="false">IF(ISNUMBER(C9),RANK(C9,$C$2:$C$300),"")</f>
        <v>7</v>
      </c>
      <c r="E9" s="6" t="n">
        <f aca="false">IF(w_enc+w_bite+w_onset+w_access&lt;=0,"",IF(Q9&lt;min_dims,"insufficient data",(w_enc*N(M9)+w_bite*N(N9)+w_onset*N(O9)+w_access*N(P9))/(w_enc*ISNUMBER(M9)+w_bite*ISNUMBER(N9)+w_onset*ISNUMBER(O9)+w_access*ISNUMBER(P9))))</f>
        <v>72.7350427350427</v>
      </c>
      <c r="F9" s="7" t="n">
        <f aca="false">IF(ISNUMBER(E9),RANK(E9,$E$2:$E$300),"")</f>
        <v>3</v>
      </c>
      <c r="G9" s="8" t="str">
        <f aca="false">IFERROR(IF(OR(INDEX(Species!$I$2:$I$300,$R9)="",INDEX(Species!$M$2:$M$300,$R9)=""),"",CHAR(MAX(CODE(INDEX(Species!$I$2:$I$300,$R9)),CODE(INDEX(Species!$M$2:$M$300,$R9))))),"")</f>
        <v>C</v>
      </c>
      <c r="H9" s="9" t="str">
        <f aca="false">IFERROR(MID(IF(AND(ISNUMBER(INDEX(Species!$J$2:$J$300,$R9)),N(INDEX(Species!$J$2:$J$300,$R9))&gt;1.5),"; LD50 sources differ "&amp;TEXT(INDEX(Species!$J$2:$J$300,$R9),"0.0")&amp;"x","")&amp;IF(AND(INDEX(Species!$H$2:$H$300,$R9)&lt;&gt;"",INDEX(Species!$H$2:$H$300,$R9)&lt;&gt;"SC"),"; LD50 route "&amp;INDEX(Species!$H$2:$H$300,$R9),"")&amp;IF(INDEX(Species!$I$2:$I$300,$R9)="D","; LD50 Tier D","")&amp;IF(AND(ISNUMBER(INDEX(Species!$N$2:$N$300,$R9)),N(INDEX(Species!$N$2:$N$300,$R9))&gt;1.5),"; yield sources differ "&amp;TEXT(INDEX(Species!$N$2:$N$300,$R9),"0.0")&amp;"x","")&amp;IF(INDEX(Species!$M$2:$M$300,$R9)="D","; yield Tier D",""),3,300),"")</f>
        <v/>
      </c>
      <c r="I9" s="5" t="str">
        <f aca="false">IFERROR(INDEX(Species!$S$2:$S$300,$R9)&amp;"","")</f>
        <v/>
      </c>
      <c r="J9" s="5" t="str">
        <f aca="false">IFERROR(INDEX(Species!$T$2:$T$300,$R9)&amp;"","")</f>
        <v/>
      </c>
      <c r="K9" s="10" t="n">
        <f aca="false">IFERROR(MEDIAN(0,100*(LOG10(ld_least)-LOG10(INDEX(Species!$G$2:$G$300,$R9)))/(LOG10(ld_least)-LOG10(ld_most)),100),"")</f>
        <v>76.4928976296654</v>
      </c>
      <c r="L9" s="10" t="n">
        <f aca="false">IFERROR(MEDIAN(0,100*(LOG10(INDEX(Species!$L$2:$L$300,$R9))-LOG10(y_min))/(LOG10(y_max)-LOG10(y_min)),100),"")</f>
        <v>84.4197518871803</v>
      </c>
      <c r="M9" s="10" t="n">
        <f aca="false">IFERROR(IF(ISNUMBER(INDEX(Species!$O$2:$O$300,$R9)),ord_floor+(ord_ceil-ord_floor)*(INDEX(Species!$O$2:$O$300,$R9)-1)/9,""),"")</f>
        <v>81.1111111111111</v>
      </c>
      <c r="N9" s="10" t="n">
        <f aca="false">IFERROR(IF(ISNUMBER(INDEX(Species!$P$2:$P$300,$R9)),ord_floor+(ord_ceil-ord_floor)*(INDEX(Species!$P$2:$P$300,$R9)-1)/4,""),"")</f>
        <v>70</v>
      </c>
      <c r="O9" s="10" t="n">
        <f aca="false">IFERROR(IF(ISNUMBER(INDEX(onset_ord,MATCH(INDEX(Species!$Q$2:$Q$300,$R9),onset_labels,0))),ord_floor+(ord_ceil-ord_floor)*(IF(onset_dir="mortality",6-INDEX(onset_ord,MATCH(INDEX(Species!$Q$2:$Q$300,$R9),onset_labels,0)),INDEX(onset_ord,MATCH(INDEX(Species!$Q$2:$Q$300,$R9),onset_labels,0)))-1)/4,""),"")</f>
        <v>90</v>
      </c>
      <c r="P9" s="10" t="n">
        <f aca="false">IFERROR(IF(ISNUMBER(INDEX(access_ord,MATCH(INDEX(Species!$R$2:$R$300,$R9),access_labels,0))),ord_floor+(ord_ceil-ord_floor)*(INDEX(access_ord,MATCH(INDEX(Species!$R$2:$R$300,$R9),access_labels,0))-1)/4,""),"")</f>
        <v>30</v>
      </c>
      <c r="Q9" s="5" t="n">
        <f aca="false">ISNUMBER(M9)*(w_enc&gt;0)+ISNUMBER(N9)*(w_bite&gt;0)+ISNUMBER(O9)*(w_onset&gt;0)+ISNUMBER(P9)*(w_access&gt;0)</f>
        <v>4</v>
      </c>
      <c r="R9" s="11" t="n">
        <f aca="false">IFERROR(MATCH($A9,Species!$A$2:$A$300,0),"")</f>
        <v>6</v>
      </c>
    </row>
    <row r="10" customFormat="false" ht="14.25" hidden="false" customHeight="true" outlineLevel="0" collapsed="false">
      <c r="A10" s="4" t="s">
        <v>26</v>
      </c>
      <c r="B10" s="5" t="str">
        <f aca="false">IFERROR(INDEX(Species!$B$2:$B$300,$R10),"NOT IN SPECIES")</f>
        <v>Monocled cobra</v>
      </c>
      <c r="C10" s="6" t="n">
        <f aca="false">IF(w_pot+w_qty&lt;=0,"",IF(AND(OR(w_pot=0,ISNUMBER(K10)),OR(w_qty=0,ISNUMBER(L10))),(w_pot*N(K10)+w_qty*N(L10))/(w_pot*ISNUMBER(K10)+w_qty*ISNUMBER(L10)),IF(ISNUMBER(K10),"needs yield","needs LD50")))</f>
        <v>79.7888903276726</v>
      </c>
      <c r="D10" s="7" t="n">
        <f aca="false">IF(ISNUMBER(C10),RANK(C10,$C$2:$C$300),"")</f>
        <v>8</v>
      </c>
      <c r="E10" s="6" t="n">
        <f aca="false">IF(w_enc+w_bite+w_onset+w_access&lt;=0,"",IF(Q10&lt;min_dims,"insufficient data",(w_enc*N(M10)+w_bite*N(N10)+w_onset*N(O10)+w_access*N(P10))/(w_enc*ISNUMBER(M10)+w_bite*ISNUMBER(N10)+w_onset*ISNUMBER(O10)+w_access*ISNUMBER(P10))))</f>
        <v>47.4358974358974</v>
      </c>
      <c r="F10" s="7" t="n">
        <f aca="false">IF(ISNUMBER(E10),RANK(E10,$E$2:$E$300),"")</f>
        <v>32</v>
      </c>
      <c r="G10" s="8" t="str">
        <f aca="false">IFERROR(IF(OR(INDEX(Species!$I$2:$I$300,$R10)="",INDEX(Species!$M$2:$M$300,$R10)=""),"",CHAR(MAX(CODE(INDEX(Species!$I$2:$I$300,$R10)),CODE(INDEX(Species!$M$2:$M$300,$R10))))),"")</f>
        <v>C</v>
      </c>
      <c r="H10" s="9" t="str">
        <f aca="false">IFERROR(MID(IF(AND(ISNUMBER(INDEX(Species!$J$2:$J$300,$R10)),N(INDEX(Species!$J$2:$J$300,$R10))&gt;1.5),"; LD50 sources differ "&amp;TEXT(INDEX(Species!$J$2:$J$300,$R10),"0.0")&amp;"x","")&amp;IF(AND(INDEX(Species!$H$2:$H$300,$R10)&lt;&gt;"",INDEX(Species!$H$2:$H$300,$R10)&lt;&gt;"SC"),"; LD50 route "&amp;INDEX(Species!$H$2:$H$300,$R10),"")&amp;IF(INDEX(Species!$I$2:$I$300,$R10)="D","; LD50 Tier D","")&amp;IF(AND(ISNUMBER(INDEX(Species!$N$2:$N$300,$R10)),N(INDEX(Species!$N$2:$N$300,$R10))&gt;1.5),"; yield sources differ "&amp;TEXT(INDEX(Species!$N$2:$N$300,$R10),"0.0")&amp;"x","")&amp;IF(INDEX(Species!$M$2:$M$300,$R10)="D","; yield Tier D",""),3,300),"")</f>
        <v>LD50 route IP</v>
      </c>
      <c r="I10" s="5" t="str">
        <f aca="false">IFERROR(INDEX(Species!$S$2:$S$300,$R10)&amp;"","")</f>
        <v/>
      </c>
      <c r="J10" s="5" t="str">
        <f aca="false">IFERROR(INDEX(Species!$T$2:$T$300,$R10)&amp;"","")</f>
        <v/>
      </c>
      <c r="K10" s="10" t="n">
        <f aca="false">IFERROR(MEDIAN(0,100*(LOG10(ld_least)-LOG10(INDEX(Species!$G$2:$G$300,$R10)))/(LOG10(ld_least)-LOG10(ld_most)),100),"")</f>
        <v>67.836255594493</v>
      </c>
      <c r="L10" s="10" t="n">
        <f aca="false">IFERROR(MEDIAN(0,100*(LOG10(INDEX(Species!$L$2:$L$300,$R10))-LOG10(y_min))/(LOG10(y_max)-LOG10(y_min)),100),"")</f>
        <v>91.7415250608522</v>
      </c>
      <c r="M10" s="10" t="n">
        <f aca="false">IFERROR(IF(ISNUMBER(INDEX(Species!$O$2:$O$300,$R10)),ord_floor+(ord_ceil-ord_floor)*(INDEX(Species!$O$2:$O$300,$R10)-1)/9,""),"")</f>
        <v>63.3333333333333</v>
      </c>
      <c r="N10" s="10" t="n">
        <f aca="false">IFERROR(IF(ISNUMBER(INDEX(Species!$P$2:$P$300,$R10)),ord_floor+(ord_ceil-ord_floor)*(INDEX(Species!$P$2:$P$300,$R10)-1)/4,""),"")</f>
        <v>50</v>
      </c>
      <c r="O10" s="10" t="n">
        <f aca="false">IFERROR(IF(ISNUMBER(INDEX(onset_ord,MATCH(INDEX(Species!$Q$2:$Q$300,$R10),onset_labels,0))),ord_floor+(ord_ceil-ord_floor)*(IF(onset_dir="mortality",6-INDEX(onset_ord,MATCH(INDEX(Species!$Q$2:$Q$300,$R10),onset_labels,0)),INDEX(onset_ord,MATCH(INDEX(Species!$Q$2:$Q$300,$R10),onset_labels,0)))-1)/4,""),"")</f>
        <v>30</v>
      </c>
      <c r="P10" s="10" t="n">
        <f aca="false">IFERROR(IF(ISNUMBER(INDEX(access_ord,MATCH(INDEX(Species!$R$2:$R$300,$R10),access_labels,0))),ord_floor+(ord_ceil-ord_floor)*(INDEX(access_ord,MATCH(INDEX(Species!$R$2:$R$300,$R10),access_labels,0))-1)/4,""),"")</f>
        <v>30</v>
      </c>
      <c r="Q10" s="5" t="n">
        <f aca="false">ISNUMBER(M10)*(w_enc&gt;0)+ISNUMBER(N10)*(w_bite&gt;0)+ISNUMBER(O10)*(w_onset&gt;0)+ISNUMBER(P10)*(w_access&gt;0)</f>
        <v>4</v>
      </c>
      <c r="R10" s="11" t="n">
        <f aca="false">IFERROR(MATCH($A10,Species!$A$2:$A$300,0),"")</f>
        <v>76</v>
      </c>
    </row>
    <row r="11" customFormat="false" ht="14.25" hidden="false" customHeight="true" outlineLevel="0" collapsed="false">
      <c r="A11" s="4" t="s">
        <v>27</v>
      </c>
      <c r="B11" s="5" t="str">
        <f aca="false">IFERROR(INDEX(Species!$B$2:$B$300,$R11),"NOT IN SPECIES")</f>
        <v>Tiger snake</v>
      </c>
      <c r="C11" s="6" t="n">
        <f aca="false">IF(w_pot+w_qty&lt;=0,"",IF(AND(OR(w_pot=0,ISNUMBER(K11)),OR(w_qty=0,ISNUMBER(L11))),(w_pot*N(K11)+w_qty*N(L11))/(w_pot*ISNUMBER(K11)+w_qty*ISNUMBER(L11)),IF(ISNUMBER(K11),"needs yield","needs LD50")))</f>
        <v>77.8307535985831</v>
      </c>
      <c r="D11" s="7" t="n">
        <f aca="false">IF(ISNUMBER(C11),RANK(C11,$C$2:$C$300),"")</f>
        <v>10</v>
      </c>
      <c r="E11" s="6" t="n">
        <f aca="false">IF(w_enc+w_bite+w_onset+w_access&lt;=0,"",IF(Q11&lt;min_dims,"insufficient data",(w_enc*N(M11)+w_bite*N(N11)+w_onset*N(O11)+w_access*N(P11))/(w_enc*ISNUMBER(M11)+w_bite*ISNUMBER(N11)+w_onset*ISNUMBER(O11)+w_access*ISNUMBER(P11))))</f>
        <v>37.5213675213675</v>
      </c>
      <c r="F11" s="7" t="n">
        <f aca="false">IF(ISNUMBER(E11),RANK(E11,$E$2:$E$300),"")</f>
        <v>63</v>
      </c>
      <c r="G11" s="8" t="str">
        <f aca="false">IFERROR(IF(OR(INDEX(Species!$I$2:$I$300,$R11)="",INDEX(Species!$M$2:$M$300,$R11)=""),"",CHAR(MAX(CODE(INDEX(Species!$I$2:$I$300,$R11)),CODE(INDEX(Species!$M$2:$M$300,$R11))))),"")</f>
        <v>C</v>
      </c>
      <c r="H11" s="9" t="str">
        <f aca="false">IFERROR(MID(IF(AND(ISNUMBER(INDEX(Species!$J$2:$J$300,$R11)),N(INDEX(Species!$J$2:$J$300,$R11))&gt;1.5),"; LD50 sources differ "&amp;TEXT(INDEX(Species!$J$2:$J$300,$R11),"0.0")&amp;"x","")&amp;IF(AND(INDEX(Species!$H$2:$H$300,$R11)&lt;&gt;"",INDEX(Species!$H$2:$H$300,$R11)&lt;&gt;"SC"),"; LD50 route "&amp;INDEX(Species!$H$2:$H$300,$R11),"")&amp;IF(INDEX(Species!$I$2:$I$300,$R11)="D","; LD50 Tier D","")&amp;IF(AND(ISNUMBER(INDEX(Species!$N$2:$N$300,$R11)),N(INDEX(Species!$N$2:$N$300,$R11))&gt;1.5),"; yield sources differ "&amp;TEXT(INDEX(Species!$N$2:$N$300,$R11),"0.0")&amp;"x","")&amp;IF(INDEX(Species!$M$2:$M$300,$R11)="D","; yield Tier D",""),3,300),"")</f>
        <v/>
      </c>
      <c r="I11" s="5" t="str">
        <f aca="false">IFERROR(INDEX(Species!$S$2:$S$300,$R11)&amp;"","")</f>
        <v>0.4 (Australia 2005-2015, tiger snakes)</v>
      </c>
      <c r="J11" s="5" t="str">
        <f aca="false">IFERROR(INDEX(Species!$T$2:$T$300,$R11)&amp;"","")</f>
        <v/>
      </c>
      <c r="K11" s="10" t="n">
        <f aca="false">IFERROR(MEDIAN(0,100*(LOG10(ld_least)-LOG10(INDEX(Species!$G$2:$G$300,$R11)))/(LOG10(ld_least)-LOG10(ld_most)),100),"")</f>
        <v>79.6120789382265</v>
      </c>
      <c r="L11" s="10" t="n">
        <f aca="false">IFERROR(MEDIAN(0,100*(LOG10(INDEX(Species!$L$2:$L$300,$R11))-LOG10(y_min))/(LOG10(y_max)-LOG10(y_min)),100),"")</f>
        <v>76.0494282589398</v>
      </c>
      <c r="M11" s="10" t="n">
        <f aca="false">IFERROR(IF(ISNUMBER(INDEX(Species!$O$2:$O$300,$R11)),ord_floor+(ord_ceil-ord_floor)*(INDEX(Species!$O$2:$O$300,$R11)-1)/9,""),"")</f>
        <v>45.5555555555556</v>
      </c>
      <c r="N11" s="10" t="n">
        <f aca="false">IFERROR(IF(ISNUMBER(INDEX(Species!$P$2:$P$300,$R11)),ord_floor+(ord_ceil-ord_floor)*(INDEX(Species!$P$2:$P$300,$R11)-1)/4,""),"")</f>
        <v>50</v>
      </c>
      <c r="O11" s="10" t="n">
        <f aca="false">IFERROR(IF(ISNUMBER(INDEX(onset_ord,MATCH(INDEX(Species!$Q$2:$Q$300,$R11),onset_labels,0))),ord_floor+(ord_ceil-ord_floor)*(IF(onset_dir="mortality",6-INDEX(onset_ord,MATCH(INDEX(Species!$Q$2:$Q$300,$R11),onset_labels,0)),INDEX(onset_ord,MATCH(INDEX(Species!$Q$2:$Q$300,$R11),onset_labels,0)))-1)/4,""),"")</f>
        <v>30</v>
      </c>
      <c r="P11" s="10" t="n">
        <f aca="false">IFERROR(IF(ISNUMBER(INDEX(access_ord,MATCH(INDEX(Species!$R$2:$R$300,$R11),access_labels,0))),ord_floor+(ord_ceil-ord_floor)*(INDEX(access_ord,MATCH(INDEX(Species!$R$2:$R$300,$R11),access_labels,0))-1)/4,""),"")</f>
        <v>10</v>
      </c>
      <c r="Q11" s="5" t="n">
        <f aca="false">ISNUMBER(M11)*(w_enc&gt;0)+ISNUMBER(N11)*(w_bite&gt;0)+ISNUMBER(O11)*(w_onset&gt;0)+ISNUMBER(P11)*(w_access&gt;0)</f>
        <v>4</v>
      </c>
      <c r="R11" s="11" t="n">
        <f aca="false">IFERROR(MATCH($A11,Species!$A$2:$A$300,0),"")</f>
        <v>9</v>
      </c>
    </row>
    <row r="12" customFormat="false" ht="14.25" hidden="false" customHeight="true" outlineLevel="0" collapsed="false">
      <c r="A12" s="4" t="s">
        <v>28</v>
      </c>
      <c r="B12" s="5" t="str">
        <f aca="false">IFERROR(INDEX(Species!$B$2:$B$300,$R12),"NOT IN SPECIES")</f>
        <v>Eastern brown snake</v>
      </c>
      <c r="C12" s="6" t="n">
        <f aca="false">IF(w_pot+w_qty&lt;=0,"",IF(AND(OR(w_pot=0,ISNUMBER(K12)),OR(w_qty=0,ISNUMBER(L12))),(w_pot*N(K12)+w_qty*N(L12))/(w_pot*ISNUMBER(K12)+w_qty*ISNUMBER(L12)),IF(ISNUMBER(K12),"needs yield","needs LD50")))</f>
        <v>78.0887513882528</v>
      </c>
      <c r="D12" s="7" t="n">
        <f aca="false">IF(ISNUMBER(C12),RANK(C12,$C$2:$C$300),"")</f>
        <v>9</v>
      </c>
      <c r="E12" s="6" t="n">
        <f aca="false">IF(w_enc+w_bite+w_onset+w_access&lt;=0,"",IF(Q12&lt;min_dims,"insufficient data",(w_enc*N(M12)+w_bite*N(N12)+w_onset*N(O12)+w_access*N(P12))/(w_enc*ISNUMBER(M12)+w_bite*ISNUMBER(N12)+w_onset*ISNUMBER(O12)+w_access*ISNUMBER(P12))))</f>
        <v>55.8119658119658</v>
      </c>
      <c r="F12" s="7" t="n">
        <f aca="false">IF(ISNUMBER(E12),RANK(E12,$E$2:$E$300),"")</f>
        <v>14</v>
      </c>
      <c r="G12" s="8" t="str">
        <f aca="false">IFERROR(IF(OR(INDEX(Species!$I$2:$I$300,$R12)="",INDEX(Species!$M$2:$M$300,$R12)=""),"",CHAR(MAX(CODE(INDEX(Species!$I$2:$I$300,$R12)),CODE(INDEX(Species!$M$2:$M$300,$R12))))),"")</f>
        <v>C</v>
      </c>
      <c r="H12" s="9" t="str">
        <f aca="false">IFERROR(MID(IF(AND(ISNUMBER(INDEX(Species!$J$2:$J$300,$R12)),N(INDEX(Species!$J$2:$J$300,$R12))&gt;1.5),"; LD50 sources differ "&amp;TEXT(INDEX(Species!$J$2:$J$300,$R12),"0.0")&amp;"x","")&amp;IF(AND(INDEX(Species!$H$2:$H$300,$R12)&lt;&gt;"",INDEX(Species!$H$2:$H$300,$R12)&lt;&gt;"SC"),"; LD50 route "&amp;INDEX(Species!$H$2:$H$300,$R12),"")&amp;IF(INDEX(Species!$I$2:$I$300,$R12)="D","; LD50 Tier D","")&amp;IF(AND(ISNUMBER(INDEX(Species!$N$2:$N$300,$R12)),N(INDEX(Species!$N$2:$N$300,$R12))&gt;1.5),"; yield sources differ "&amp;TEXT(INDEX(Species!$N$2:$N$300,$R12),"0.0")&amp;"x","")&amp;IF(INDEX(Species!$M$2:$M$300,$R12)="D","; yield Tier D",""),3,300),"")</f>
        <v/>
      </c>
      <c r="I12" s="5" t="str">
        <f aca="false">IFERROR(INDEX(Species!$S$2:$S$300,$R12)&amp;"","")</f>
        <v>1.7 (Australia 2005-2015, all brown snakes)</v>
      </c>
      <c r="J12" s="5" t="str">
        <f aca="false">IFERROR(INDEX(Species!$T$2:$T$300,$R12)&amp;"","")</f>
        <v/>
      </c>
      <c r="K12" s="10" t="n">
        <f aca="false">IFERROR(MEDIAN(0,100*(LOG10(ld_least)-LOG10(INDEX(Species!$G$2:$G$300,$R12)))/(LOG10(ld_least)-LOG10(ld_most)),100),"")</f>
        <v>94.215507448065</v>
      </c>
      <c r="L12" s="10" t="n">
        <f aca="false">IFERROR(MEDIAN(0,100*(LOG10(INDEX(Species!$L$2:$L$300,$R12))-LOG10(y_min))/(LOG10(y_max)-LOG10(y_min)),100),"")</f>
        <v>61.9619953284407</v>
      </c>
      <c r="M12" s="10" t="n">
        <f aca="false">IFERROR(IF(ISNUMBER(INDEX(Species!$O$2:$O$300,$R12)),ord_floor+(ord_ceil-ord_floor)*(INDEX(Species!$O$2:$O$300,$R12)-1)/9,""),"")</f>
        <v>81.1111111111111</v>
      </c>
      <c r="N12" s="10" t="n">
        <f aca="false">IFERROR(IF(ISNUMBER(INDEX(Species!$P$2:$P$300,$R12)),ord_floor+(ord_ceil-ord_floor)*(INDEX(Species!$P$2:$P$300,$R12)-1)/4,""),"")</f>
        <v>90</v>
      </c>
      <c r="O12" s="10" t="n">
        <f aca="false">IFERROR(IF(ISNUMBER(INDEX(onset_ord,MATCH(INDEX(Species!$Q$2:$Q$300,$R12),onset_labels,0))),ord_floor+(ord_ceil-ord_floor)*(IF(onset_dir="mortality",6-INDEX(onset_ord,MATCH(INDEX(Species!$Q$2:$Q$300,$R12),onset_labels,0)),INDEX(onset_ord,MATCH(INDEX(Species!$Q$2:$Q$300,$R12),onset_labels,0)))-1)/4,""),"")</f>
        <v>10</v>
      </c>
      <c r="P12" s="10" t="n">
        <f aca="false">IFERROR(IF(ISNUMBER(INDEX(access_ord,MATCH(INDEX(Species!$R$2:$R$300,$R12),access_labels,0))),ord_floor+(ord_ceil-ord_floor)*(INDEX(access_ord,MATCH(INDEX(Species!$R$2:$R$300,$R12),access_labels,0))-1)/4,""),"")</f>
        <v>10</v>
      </c>
      <c r="Q12" s="5" t="n">
        <f aca="false">ISNUMBER(M12)*(w_enc&gt;0)+ISNUMBER(N12)*(w_bite&gt;0)+ISNUMBER(O12)*(w_onset&gt;0)+ISNUMBER(P12)*(w_access&gt;0)</f>
        <v>4</v>
      </c>
      <c r="R12" s="11" t="n">
        <f aca="false">IFERROR(MATCH($A12,Species!$A$2:$A$300,0),"")</f>
        <v>10</v>
      </c>
    </row>
    <row r="13" customFormat="false" ht="14.25" hidden="false" customHeight="true" outlineLevel="0" collapsed="false">
      <c r="A13" s="4" t="s">
        <v>29</v>
      </c>
      <c r="B13" s="5" t="str">
        <f aca="false">IFERROR(INDEX(Species!$B$2:$B$300,$R13),"NOT IN SPECIES")</f>
        <v>Egyptian cobra</v>
      </c>
      <c r="C13" s="6" t="n">
        <f aca="false">IF(w_pot+w_qty&lt;=0,"",IF(AND(OR(w_pot=0,ISNUMBER(K13)),OR(w_qty=0,ISNUMBER(L13))),(w_pot*N(K13)+w_qty*N(L13))/(w_pot*ISNUMBER(K13)+w_qty*ISNUMBER(L13)),IF(ISNUMBER(K13),"needs yield","needs LD50")))</f>
        <v>76.6234325821819</v>
      </c>
      <c r="D13" s="7" t="n">
        <f aca="false">IF(ISNUMBER(C13),RANK(C13,$C$2:$C$300),"")</f>
        <v>11</v>
      </c>
      <c r="E13" s="6" t="n">
        <f aca="false">IF(w_enc+w_bite+w_onset+w_access&lt;=0,"",IF(Q13&lt;min_dims,"insufficient data",(w_enc*N(M13)+w_bite*N(N13)+w_onset*N(O13)+w_access*N(P13))/(w_enc*ISNUMBER(M13)+w_bite*ISNUMBER(N13)+w_onset*ISNUMBER(O13)+w_access*ISNUMBER(P13))))</f>
        <v>48.6324786324786</v>
      </c>
      <c r="F13" s="7" t="n">
        <f aca="false">IF(ISNUMBER(E13),RANK(E13,$E$2:$E$300),"")</f>
        <v>28</v>
      </c>
      <c r="G13" s="8" t="str">
        <f aca="false">IFERROR(IF(OR(INDEX(Species!$I$2:$I$300,$R13)="",INDEX(Species!$M$2:$M$300,$R13)=""),"",CHAR(MAX(CODE(INDEX(Species!$I$2:$I$300,$R13)),CODE(INDEX(Species!$M$2:$M$300,$R13))))),"")</f>
        <v>C</v>
      </c>
      <c r="H13" s="9" t="str">
        <f aca="false">IFERROR(MID(IF(AND(ISNUMBER(INDEX(Species!$J$2:$J$300,$R13)),N(INDEX(Species!$J$2:$J$300,$R13))&gt;1.5),"; LD50 sources differ "&amp;TEXT(INDEX(Species!$J$2:$J$300,$R13),"0.0")&amp;"x","")&amp;IF(AND(INDEX(Species!$H$2:$H$300,$R13)&lt;&gt;"",INDEX(Species!$H$2:$H$300,$R13)&lt;&gt;"SC"),"; LD50 route "&amp;INDEX(Species!$H$2:$H$300,$R13),"")&amp;IF(INDEX(Species!$I$2:$I$300,$R13)="D","; LD50 Tier D","")&amp;IF(AND(ISNUMBER(INDEX(Species!$N$2:$N$300,$R13)),N(INDEX(Species!$N$2:$N$300,$R13))&gt;1.5),"; yield sources differ "&amp;TEXT(INDEX(Species!$N$2:$N$300,$R13),"0.0")&amp;"x","")&amp;IF(INDEX(Species!$M$2:$M$300,$R13)="D","; yield Tier D",""),3,300),"")</f>
        <v/>
      </c>
      <c r="I13" s="5" t="str">
        <f aca="false">IFERROR(INDEX(Species!$S$2:$S$300,$R13)&amp;"","")</f>
        <v/>
      </c>
      <c r="J13" s="5" t="str">
        <f aca="false">IFERROR(INDEX(Species!$T$2:$T$300,$R13)&amp;"","")</f>
        <v/>
      </c>
      <c r="K13" s="10" t="n">
        <f aca="false">IFERROR(MEDIAN(0,100*(LOG10(ld_least)-LOG10(INDEX(Species!$G$2:$G$300,$R13)))/(LOG10(ld_least)-LOG10(ld_most)),100),"")</f>
        <v>70.9211088981723</v>
      </c>
      <c r="L13" s="10" t="n">
        <f aca="false">IFERROR(MEDIAN(0,100*(LOG10(INDEX(Species!$L$2:$L$300,$R13))-LOG10(y_min))/(LOG10(y_max)-LOG10(y_min)),100),"")</f>
        <v>82.3257562661916</v>
      </c>
      <c r="M13" s="10" t="n">
        <f aca="false">IFERROR(IF(ISNUMBER(INDEX(Species!$O$2:$O$300,$R13)),ord_floor+(ord_ceil-ord_floor)*(INDEX(Species!$O$2:$O$300,$R13)-1)/9,""),"")</f>
        <v>54.4444444444444</v>
      </c>
      <c r="N13" s="10" t="n">
        <f aca="false">IFERROR(IF(ISNUMBER(INDEX(Species!$P$2:$P$300,$R13)),ord_floor+(ord_ceil-ord_floor)*(INDEX(Species!$P$2:$P$300,$R13)-1)/4,""),"")</f>
        <v>70</v>
      </c>
      <c r="O13" s="10" t="n">
        <f aca="false">IFERROR(IF(ISNUMBER(INDEX(onset_ord,MATCH(INDEX(Species!$Q$2:$Q$300,$R13),onset_labels,0))),ord_floor+(ord_ceil-ord_floor)*(IF(onset_dir="mortality",6-INDEX(onset_ord,MATCH(INDEX(Species!$Q$2:$Q$300,$R13),onset_labels,0)),INDEX(onset_ord,MATCH(INDEX(Species!$Q$2:$Q$300,$R13),onset_labels,0)))-1)/4,""),"")</f>
        <v>30</v>
      </c>
      <c r="P13" s="10" t="n">
        <f aca="false">IFERROR(IF(ISNUMBER(INDEX(access_ord,MATCH(INDEX(Species!$R$2:$R$300,$R13),access_labels,0))),ord_floor+(ord_ceil-ord_floor)*(INDEX(access_ord,MATCH(INDEX(Species!$R$2:$R$300,$R13),access_labels,0))-1)/4,""),"")</f>
        <v>30</v>
      </c>
      <c r="Q13" s="5" t="n">
        <f aca="false">ISNUMBER(M13)*(w_enc&gt;0)+ISNUMBER(N13)*(w_bite&gt;0)+ISNUMBER(O13)*(w_onset&gt;0)+ISNUMBER(P13)*(w_access&gt;0)</f>
        <v>4</v>
      </c>
      <c r="R13" s="11" t="n">
        <f aca="false">IFERROR(MATCH($A13,Species!$A$2:$A$300,0),"")</f>
        <v>8</v>
      </c>
    </row>
    <row r="14" customFormat="false" ht="14.25" hidden="false" customHeight="true" outlineLevel="0" collapsed="false">
      <c r="A14" s="4" t="s">
        <v>30</v>
      </c>
      <c r="B14" s="5" t="str">
        <f aca="false">IFERROR(INDEX(Species!$B$2:$B$300,$R14),"NOT IN SPECIES")</f>
        <v>Caspian cobra</v>
      </c>
      <c r="C14" s="6" t="n">
        <f aca="false">IF(w_pot+w_qty&lt;=0,"",IF(AND(OR(w_pot=0,ISNUMBER(K14)),OR(w_qty=0,ISNUMBER(L14))),(w_pot*N(K14)+w_qty*N(L14))/(w_pot*ISNUMBER(K14)+w_qty*ISNUMBER(L14)),IF(ISNUMBER(K14),"needs yield","needs LD50")))</f>
        <v>76.4780754961218</v>
      </c>
      <c r="D14" s="7" t="n">
        <f aca="false">IF(ISNUMBER(C14),RANK(C14,$C$2:$C$300),"")</f>
        <v>12</v>
      </c>
      <c r="E14" s="6" t="n">
        <f aca="false">IF(w_enc+w_bite+w_onset+w_access&lt;=0,"",IF(Q14&lt;min_dims,"insufficient data",(w_enc*N(M14)+w_bite*N(N14)+w_onset*N(O14)+w_access*N(P14))/(w_enc*ISNUMBER(M14)+w_bite*ISNUMBER(N14)+w_onset*ISNUMBER(O14)+w_access*ISNUMBER(P14))))</f>
        <v>50.5128205128205</v>
      </c>
      <c r="F14" s="7" t="n">
        <f aca="false">IF(ISNUMBER(E14),RANK(E14,$E$2:$E$300),"")</f>
        <v>25</v>
      </c>
      <c r="G14" s="8" t="str">
        <f aca="false">IFERROR(IF(OR(INDEX(Species!$I$2:$I$300,$R14)="",INDEX(Species!$M$2:$M$300,$R14)=""),"",CHAR(MAX(CODE(INDEX(Species!$I$2:$I$300,$R14)),CODE(INDEX(Species!$M$2:$M$300,$R14))))),"")</f>
        <v>C</v>
      </c>
      <c r="H14" s="9" t="str">
        <f aca="false">IFERROR(MID(IF(AND(ISNUMBER(INDEX(Species!$J$2:$J$300,$R14)),N(INDEX(Species!$J$2:$J$300,$R14))&gt;1.5),"; LD50 sources differ "&amp;TEXT(INDEX(Species!$J$2:$J$300,$R14),"0.0")&amp;"x","")&amp;IF(AND(INDEX(Species!$H$2:$H$300,$R14)&lt;&gt;"",INDEX(Species!$H$2:$H$300,$R14)&lt;&gt;"SC"),"; LD50 route "&amp;INDEX(Species!$H$2:$H$300,$R14),"")&amp;IF(INDEX(Species!$I$2:$I$300,$R14)="D","; LD50 Tier D","")&amp;IF(AND(ISNUMBER(INDEX(Species!$N$2:$N$300,$R14)),N(INDEX(Species!$N$2:$N$300,$R14))&gt;1.5),"; yield sources differ "&amp;TEXT(INDEX(Species!$N$2:$N$300,$R14),"0.0")&amp;"x","")&amp;IF(INDEX(Species!$M$2:$M$300,$R14)="D","; yield Tier D",""),3,300),"")</f>
        <v/>
      </c>
      <c r="I14" s="5" t="str">
        <f aca="false">IFERROR(INDEX(Species!$S$2:$S$300,$R14)&amp;"","")</f>
        <v/>
      </c>
      <c r="J14" s="5" t="str">
        <f aca="false">IFERROR(INDEX(Species!$T$2:$T$300,$R14)&amp;"","")</f>
        <v/>
      </c>
      <c r="K14" s="10" t="n">
        <f aca="false">IFERROR(MEDIAN(0,100*(LOG10(ld_least)-LOG10(INDEX(Species!$G$2:$G$300,$R14)))/(LOG10(ld_least)-LOG10(ld_most)),100),"")</f>
        <v>82.6319443576585</v>
      </c>
      <c r="L14" s="10" t="n">
        <f aca="false">IFERROR(MEDIAN(0,100*(LOG10(INDEX(Species!$L$2:$L$300,$R14))-LOG10(y_min))/(LOG10(y_max)-LOG10(y_min)),100),"")</f>
        <v>70.3242066345851</v>
      </c>
      <c r="M14" s="10" t="n">
        <f aca="false">IFERROR(IF(ISNUMBER(INDEX(Species!$O$2:$O$300,$R14)),ord_floor+(ord_ceil-ord_floor)*(INDEX(Species!$O$2:$O$300,$R14)-1)/9,""),"")</f>
        <v>63.3333333333333</v>
      </c>
      <c r="N14" s="10" t="n">
        <f aca="false">IFERROR(IF(ISNUMBER(INDEX(Species!$P$2:$P$300,$R14)),ord_floor+(ord_ceil-ord_floor)*(INDEX(Species!$P$2:$P$300,$R14)-1)/4,""),"")</f>
        <v>50</v>
      </c>
      <c r="O14" s="10" t="n">
        <f aca="false">IFERROR(IF(ISNUMBER(INDEX(onset_ord,MATCH(INDEX(Species!$Q$2:$Q$300,$R14),onset_labels,0))),ord_floor+(ord_ceil-ord_floor)*(IF(onset_dir="mortality",6-INDEX(onset_ord,MATCH(INDEX(Species!$Q$2:$Q$300,$R14),onset_labels,0)),INDEX(onset_ord,MATCH(INDEX(Species!$Q$2:$Q$300,$R14),onset_labels,0)))-1)/4,""),"")</f>
        <v>30</v>
      </c>
      <c r="P14" s="10" t="n">
        <f aca="false">IFERROR(IF(ISNUMBER(INDEX(access_ord,MATCH(INDEX(Species!$R$2:$R$300,$R14),access_labels,0))),ord_floor+(ord_ceil-ord_floor)*(INDEX(access_ord,MATCH(INDEX(Species!$R$2:$R$300,$R14),access_labels,0))-1)/4,""),"")</f>
        <v>50</v>
      </c>
      <c r="Q14" s="5" t="n">
        <f aca="false">ISNUMBER(M14)*(w_enc&gt;0)+ISNUMBER(N14)*(w_bite&gt;0)+ISNUMBER(O14)*(w_onset&gt;0)+ISNUMBER(P14)*(w_access&gt;0)</f>
        <v>4</v>
      </c>
      <c r="R14" s="11" t="n">
        <f aca="false">IFERROR(MATCH($A14,Species!$A$2:$A$300,0),"")</f>
        <v>11</v>
      </c>
    </row>
    <row r="15" customFormat="false" ht="14.25" hidden="false" customHeight="true" outlineLevel="0" collapsed="false">
      <c r="A15" s="4" t="s">
        <v>31</v>
      </c>
      <c r="B15" s="5" t="str">
        <f aca="false">IFERROR(INDEX(Species!$B$2:$B$300,$R15),"NOT IN SPECIES")</f>
        <v>Black-necked spitting cobra</v>
      </c>
      <c r="C15" s="6" t="n">
        <f aca="false">IF(w_pot+w_qty&lt;=0,"",IF(AND(OR(w_pot=0,ISNUMBER(K15)),OR(w_qty=0,ISNUMBER(L15))),(w_pot*N(K15)+w_qty*N(L15))/(w_pot*ISNUMBER(K15)+w_qty*ISNUMBER(L15)),IF(ISNUMBER(K15),"needs yield","needs LD50")))</f>
        <v>75.9274975464301</v>
      </c>
      <c r="D15" s="7" t="n">
        <f aca="false">IF(ISNUMBER(C15),RANK(C15,$C$2:$C$300),"")</f>
        <v>13</v>
      </c>
      <c r="E15" s="6" t="n">
        <f aca="false">IF(w_enc+w_bite+w_onset+w_access&lt;=0,"",IF(Q15&lt;min_dims,"insufficient data",(w_enc*N(M15)+w_bite*N(N15)+w_onset*N(O15)+w_access*N(P15))/(w_enc*ISNUMBER(M15)+w_bite*ISNUMBER(N15)+w_onset*ISNUMBER(O15)+w_access*ISNUMBER(P15))))</f>
        <v>47.4358974358974</v>
      </c>
      <c r="F15" s="7" t="n">
        <f aca="false">IF(ISNUMBER(E15),RANK(E15,$E$2:$E$300),"")</f>
        <v>32</v>
      </c>
      <c r="G15" s="8" t="str">
        <f aca="false">IFERROR(IF(OR(INDEX(Species!$I$2:$I$300,$R15)="",INDEX(Species!$M$2:$M$300,$R15)=""),"",CHAR(MAX(CODE(INDEX(Species!$I$2:$I$300,$R15)),CODE(INDEX(Species!$M$2:$M$300,$R15))))),"")</f>
        <v>C</v>
      </c>
      <c r="H15" s="9" t="str">
        <f aca="false">IFERROR(MID(IF(AND(ISNUMBER(INDEX(Species!$J$2:$J$300,$R15)),N(INDEX(Species!$J$2:$J$300,$R15))&gt;1.5),"; LD50 sources differ "&amp;TEXT(INDEX(Species!$J$2:$J$300,$R15),"0.0")&amp;"x","")&amp;IF(AND(INDEX(Species!$H$2:$H$300,$R15)&lt;&gt;"",INDEX(Species!$H$2:$H$300,$R15)&lt;&gt;"SC"),"; LD50 route "&amp;INDEX(Species!$H$2:$H$300,$R15),"")&amp;IF(INDEX(Species!$I$2:$I$300,$R15)="D","; LD50 Tier D","")&amp;IF(AND(ISNUMBER(INDEX(Species!$N$2:$N$300,$R15)),N(INDEX(Species!$N$2:$N$300,$R15))&gt;1.5),"; yield sources differ "&amp;TEXT(INDEX(Species!$N$2:$N$300,$R15),"0.0")&amp;"x","")&amp;IF(INDEX(Species!$M$2:$M$300,$R15)="D","; yield Tier D",""),3,300),"")</f>
        <v/>
      </c>
      <c r="I15" s="5" t="str">
        <f aca="false">IFERROR(INDEX(Species!$S$2:$S$300,$R15)&amp;"","")</f>
        <v/>
      </c>
      <c r="J15" s="5" t="str">
        <f aca="false">IFERROR(INDEX(Species!$T$2:$T$300,$R15)&amp;"","")</f>
        <v/>
      </c>
      <c r="K15" s="10" t="n">
        <f aca="false">IFERROR(MEDIAN(0,100*(LOG10(ld_least)-LOG10(INDEX(Species!$G$2:$G$300,$R15)))/(LOG10(ld_least)-LOG10(ld_most)),100),"")</f>
        <v>67.4352432056799</v>
      </c>
      <c r="L15" s="10" t="n">
        <f aca="false">IFERROR(MEDIAN(0,100*(LOG10(INDEX(Species!$L$2:$L$300,$R15))-LOG10(y_min))/(LOG10(y_max)-LOG10(y_min)),100),"")</f>
        <v>84.4197518871803</v>
      </c>
      <c r="M15" s="10" t="n">
        <f aca="false">IFERROR(IF(ISNUMBER(INDEX(Species!$O$2:$O$300,$R15)),ord_floor+(ord_ceil-ord_floor)*(INDEX(Species!$O$2:$O$300,$R15)-1)/9,""),"")</f>
        <v>63.3333333333333</v>
      </c>
      <c r="N15" s="10" t="n">
        <f aca="false">IFERROR(IF(ISNUMBER(INDEX(Species!$P$2:$P$300,$R15)),ord_floor+(ord_ceil-ord_floor)*(INDEX(Species!$P$2:$P$300,$R15)-1)/4,""),"")</f>
        <v>50</v>
      </c>
      <c r="O15" s="10" t="n">
        <f aca="false">IFERROR(IF(ISNUMBER(INDEX(onset_ord,MATCH(INDEX(Species!$Q$2:$Q$300,$R15),onset_labels,0))),ord_floor+(ord_ceil-ord_floor)*(IF(onset_dir="mortality",6-INDEX(onset_ord,MATCH(INDEX(Species!$Q$2:$Q$300,$R15),onset_labels,0)),INDEX(onset_ord,MATCH(INDEX(Species!$Q$2:$Q$300,$R15),onset_labels,0)))-1)/4,""),"")</f>
        <v>30</v>
      </c>
      <c r="P15" s="10" t="n">
        <f aca="false">IFERROR(IF(ISNUMBER(INDEX(access_ord,MATCH(INDEX(Species!$R$2:$R$300,$R15),access_labels,0))),ord_floor+(ord_ceil-ord_floor)*(INDEX(access_ord,MATCH(INDEX(Species!$R$2:$R$300,$R15),access_labels,0))-1)/4,""),"")</f>
        <v>30</v>
      </c>
      <c r="Q15" s="5" t="n">
        <f aca="false">ISNUMBER(M15)*(w_enc&gt;0)+ISNUMBER(N15)*(w_bite&gt;0)+ISNUMBER(O15)*(w_onset&gt;0)+ISNUMBER(P15)*(w_access&gt;0)</f>
        <v>4</v>
      </c>
      <c r="R15" s="11" t="n">
        <f aca="false">IFERROR(MATCH($A15,Species!$A$2:$A$300,0),"")</f>
        <v>55</v>
      </c>
    </row>
    <row r="16" customFormat="false" ht="14.25" hidden="false" customHeight="true" outlineLevel="0" collapsed="false">
      <c r="A16" s="4" t="s">
        <v>32</v>
      </c>
      <c r="B16" s="5" t="str">
        <f aca="false">IFERROR(INDEX(Species!$B$2:$B$300,$R16),"NOT IN SPECIES")</f>
        <v>Mojave rattlesnake</v>
      </c>
      <c r="C16" s="6" t="n">
        <f aca="false">IF(w_pot+w_qty&lt;=0,"",IF(AND(OR(w_pot=0,ISNUMBER(K16)),OR(w_qty=0,ISNUMBER(L16))),(w_pot*N(K16)+w_qty*N(L16))/(w_pot*ISNUMBER(K16)+w_qty*ISNUMBER(L16)),IF(ISNUMBER(K16),"needs yield","needs LD50")))</f>
        <v>72.4087853106901</v>
      </c>
      <c r="D16" s="7" t="n">
        <f aca="false">IF(ISNUMBER(C16),RANK(C16,$C$2:$C$300),"")</f>
        <v>14</v>
      </c>
      <c r="E16" s="6" t="n">
        <f aca="false">IF(w_enc+w_bite+w_onset+w_access&lt;=0,"",IF(Q16&lt;min_dims,"insufficient data",(w_enc*N(M16)+w_bite*N(N16)+w_onset*N(O16)+w_access*N(P16))/(w_enc*ISNUMBER(M16)+w_bite*ISNUMBER(N16)+w_onset*ISNUMBER(O16)+w_access*ISNUMBER(P16))))</f>
        <v>38.7179487179487</v>
      </c>
      <c r="F16" s="7" t="n">
        <f aca="false">IF(ISNUMBER(E16),RANK(E16,$E$2:$E$300),"")</f>
        <v>60</v>
      </c>
      <c r="G16" s="8" t="str">
        <f aca="false">IFERROR(IF(OR(INDEX(Species!$I$2:$I$300,$R16)="",INDEX(Species!$M$2:$M$300,$R16)=""),"",CHAR(MAX(CODE(INDEX(Species!$I$2:$I$300,$R16)),CODE(INDEX(Species!$M$2:$M$300,$R16))))),"")</f>
        <v>C</v>
      </c>
      <c r="H16" s="9" t="str">
        <f aca="false">IFERROR(MID(IF(AND(ISNUMBER(INDEX(Species!$J$2:$J$300,$R16)),N(INDEX(Species!$J$2:$J$300,$R16))&gt;1.5),"; LD50 sources differ "&amp;TEXT(INDEX(Species!$J$2:$J$300,$R16),"0.0")&amp;"x","")&amp;IF(AND(INDEX(Species!$H$2:$H$300,$R16)&lt;&gt;"",INDEX(Species!$H$2:$H$300,$R16)&lt;&gt;"SC"),"; LD50 route "&amp;INDEX(Species!$H$2:$H$300,$R16),"")&amp;IF(INDEX(Species!$I$2:$I$300,$R16)="D","; LD50 Tier D","")&amp;IF(AND(ISNUMBER(INDEX(Species!$N$2:$N$300,$R16)),N(INDEX(Species!$N$2:$N$300,$R16))&gt;1.5),"; yield sources differ "&amp;TEXT(INDEX(Species!$N$2:$N$300,$R16),"0.0")&amp;"x","")&amp;IF(INDEX(Species!$M$2:$M$300,$R16)="D","; yield Tier D",""),3,300),"")</f>
        <v/>
      </c>
      <c r="I16" s="5" t="str">
        <f aca="false">IFERROR(INDEX(Species!$S$2:$S$300,$R16)&amp;"","")</f>
        <v/>
      </c>
      <c r="J16" s="5" t="str">
        <f aca="false">IFERROR(INDEX(Species!$T$2:$T$300,$R16)&amp;"","")</f>
        <v/>
      </c>
      <c r="K16" s="10" t="n">
        <f aca="false">IFERROR(MEDIAN(0,100*(LOG10(ld_least)-LOG10(INDEX(Species!$G$2:$G$300,$R16)))/(LOG10(ld_least)-LOG10(ld_most)),100),"")</f>
        <v>71.9075831498492</v>
      </c>
      <c r="L16" s="10" t="n">
        <f aca="false">IFERROR(MEDIAN(0,100*(LOG10(INDEX(Species!$L$2:$L$300,$R16))-LOG10(y_min))/(LOG10(y_max)-LOG10(y_min)),100),"")</f>
        <v>72.9099874715309</v>
      </c>
      <c r="M16" s="10" t="n">
        <f aca="false">IFERROR(IF(ISNUMBER(INDEX(Species!$O$2:$O$300,$R16)),ord_floor+(ord_ceil-ord_floor)*(INDEX(Species!$O$2:$O$300,$R16)-1)/9,""),"")</f>
        <v>36.6666666666667</v>
      </c>
      <c r="N16" s="10" t="n">
        <f aca="false">IFERROR(IF(ISNUMBER(INDEX(Species!$P$2:$P$300,$R16)),ord_floor+(ord_ceil-ord_floor)*(INDEX(Species!$P$2:$P$300,$R16)-1)/4,""),"")</f>
        <v>50</v>
      </c>
      <c r="O16" s="10" t="n">
        <f aca="false">IFERROR(IF(ISNUMBER(INDEX(onset_ord,MATCH(INDEX(Species!$Q$2:$Q$300,$R16),onset_labels,0))),ord_floor+(ord_ceil-ord_floor)*(IF(onset_dir="mortality",6-INDEX(onset_ord,MATCH(INDEX(Species!$Q$2:$Q$300,$R16),onset_labels,0)),INDEX(onset_ord,MATCH(INDEX(Species!$Q$2:$Q$300,$R16),onset_labels,0)))-1)/4,""),"")</f>
        <v>50</v>
      </c>
      <c r="P16" s="10" t="n">
        <f aca="false">IFERROR(IF(ISNUMBER(INDEX(access_ord,MATCH(INDEX(Species!$R$2:$R$300,$R16),access_labels,0))),ord_floor+(ord_ceil-ord_floor)*(INDEX(access_ord,MATCH(INDEX(Species!$R$2:$R$300,$R16),access_labels,0))-1)/4,""),"")</f>
        <v>10</v>
      </c>
      <c r="Q16" s="5" t="n">
        <f aca="false">ISNUMBER(M16)*(w_enc&gt;0)+ISNUMBER(N16)*(w_bite&gt;0)+ISNUMBER(O16)*(w_onset&gt;0)+ISNUMBER(P16)*(w_access&gt;0)</f>
        <v>4</v>
      </c>
      <c r="R16" s="11" t="n">
        <f aca="false">IFERROR(MATCH($A16,Species!$A$2:$A$300,0),"")</f>
        <v>12</v>
      </c>
    </row>
    <row r="17" customFormat="false" ht="14.25" hidden="false" customHeight="true" outlineLevel="0" collapsed="false">
      <c r="A17" s="4" t="s">
        <v>33</v>
      </c>
      <c r="B17" s="5" t="str">
        <f aca="false">IFERROR(INDEX(Species!$B$2:$B$300,$R17),"NOT IN SPECIES")</f>
        <v>Philippine cobra</v>
      </c>
      <c r="C17" s="6" t="n">
        <f aca="false">IF(w_pot+w_qty&lt;=0,"",IF(AND(OR(w_pot=0,ISNUMBER(K17)),OR(w_qty=0,ISNUMBER(L17))),(w_pot*N(K17)+w_qty*N(L17))/(w_pot*ISNUMBER(K17)+w_qty*ISNUMBER(L17)),IF(ISNUMBER(K17),"needs yield","needs LD50")))</f>
        <v>71.9475067204296</v>
      </c>
      <c r="D17" s="7" t="n">
        <f aca="false">IF(ISNUMBER(C17),RANK(C17,$C$2:$C$300),"")</f>
        <v>15</v>
      </c>
      <c r="E17" s="6" t="n">
        <f aca="false">IF(w_enc+w_bite+w_onset+w_access&lt;=0,"",IF(Q17&lt;min_dims,"insufficient data",(w_enc*N(M17)+w_bite*N(N17)+w_onset*N(O17)+w_access*N(P17))/(w_enc*ISNUMBER(M17)+w_bite*ISNUMBER(N17)+w_onset*ISNUMBER(O17)+w_access*ISNUMBER(P17))))</f>
        <v>42.8205128205128</v>
      </c>
      <c r="F17" s="7" t="n">
        <f aca="false">IF(ISNUMBER(E17),RANK(E17,$E$2:$E$300),"")</f>
        <v>50</v>
      </c>
      <c r="G17" s="8" t="str">
        <f aca="false">IFERROR(IF(OR(INDEX(Species!$I$2:$I$300,$R17)="",INDEX(Species!$M$2:$M$300,$R17)=""),"",CHAR(MAX(CODE(INDEX(Species!$I$2:$I$300,$R17)),CODE(INDEX(Species!$M$2:$M$300,$R17))))),"")</f>
        <v>C</v>
      </c>
      <c r="H17" s="9" t="str">
        <f aca="false">IFERROR(MID(IF(AND(ISNUMBER(INDEX(Species!$J$2:$J$300,$R17)),N(INDEX(Species!$J$2:$J$300,$R17))&gt;1.5),"; LD50 sources differ "&amp;TEXT(INDEX(Species!$J$2:$J$300,$R17),"0.0")&amp;"x","")&amp;IF(AND(INDEX(Species!$H$2:$H$300,$R17)&lt;&gt;"",INDEX(Species!$H$2:$H$300,$R17)&lt;&gt;"SC"),"; LD50 route "&amp;INDEX(Species!$H$2:$H$300,$R17),"")&amp;IF(INDEX(Species!$I$2:$I$300,$R17)="D","; LD50 Tier D","")&amp;IF(AND(ISNUMBER(INDEX(Species!$N$2:$N$300,$R17)),N(INDEX(Species!$N$2:$N$300,$R17))&gt;1.5),"; yield sources differ "&amp;TEXT(INDEX(Species!$N$2:$N$300,$R17),"0.0")&amp;"x","")&amp;IF(INDEX(Species!$M$2:$M$300,$R17)="D","; yield Tier D",""),3,300),"")</f>
        <v/>
      </c>
      <c r="I17" s="5" t="str">
        <f aca="false">IFERROR(INDEX(Species!$S$2:$S$300,$R17)&amp;"","")</f>
        <v/>
      </c>
      <c r="J17" s="5" t="str">
        <f aca="false">IFERROR(INDEX(Species!$T$2:$T$300,$R17)&amp;"","")</f>
        <v/>
      </c>
      <c r="K17" s="10" t="n">
        <f aca="false">IFERROR(MEDIAN(0,100*(LOG10(ld_least)-LOG10(INDEX(Species!$G$2:$G$300,$R17)))/(LOG10(ld_least)-LOG10(ld_most)),100),"")</f>
        <v>76.4928976296654</v>
      </c>
      <c r="L17" s="10" t="n">
        <f aca="false">IFERROR(MEDIAN(0,100*(LOG10(INDEX(Species!$L$2:$L$300,$R17))-LOG10(y_min))/(LOG10(y_max)-LOG10(y_min)),100),"")</f>
        <v>67.4021158111939</v>
      </c>
      <c r="M17" s="10" t="n">
        <f aca="false">IFERROR(IF(ISNUMBER(INDEX(Species!$O$2:$O$300,$R17)),ord_floor+(ord_ceil-ord_floor)*(INDEX(Species!$O$2:$O$300,$R17)-1)/9,""),"")</f>
        <v>63.3333333333333</v>
      </c>
      <c r="N17" s="10" t="n">
        <f aca="false">IFERROR(IF(ISNUMBER(INDEX(Species!$P$2:$P$300,$R17)),ord_floor+(ord_ceil-ord_floor)*(INDEX(Species!$P$2:$P$300,$R17)-1)/4,""),"")</f>
        <v>50</v>
      </c>
      <c r="O17" s="10" t="n">
        <f aca="false">IFERROR(IF(ISNUMBER(INDEX(onset_ord,MATCH(INDEX(Species!$Q$2:$Q$300,$R17),onset_labels,0))),ord_floor+(ord_ceil-ord_floor)*(IF(onset_dir="mortality",6-INDEX(onset_ord,MATCH(INDEX(Species!$Q$2:$Q$300,$R17),onset_labels,0)),INDEX(onset_ord,MATCH(INDEX(Species!$Q$2:$Q$300,$R17),onset_labels,0)))-1)/4,""),"")</f>
        <v>10</v>
      </c>
      <c r="P17" s="10" t="n">
        <f aca="false">IFERROR(IF(ISNUMBER(INDEX(access_ord,MATCH(INDEX(Species!$R$2:$R$300,$R17),access_labels,0))),ord_floor+(ord_ceil-ord_floor)*(INDEX(access_ord,MATCH(INDEX(Species!$R$2:$R$300,$R17),access_labels,0))-1)/4,""),"")</f>
        <v>30</v>
      </c>
      <c r="Q17" s="5" t="n">
        <f aca="false">ISNUMBER(M17)*(w_enc&gt;0)+ISNUMBER(N17)*(w_bite&gt;0)+ISNUMBER(O17)*(w_onset&gt;0)+ISNUMBER(P17)*(w_access&gt;0)</f>
        <v>4</v>
      </c>
      <c r="R17" s="11" t="n">
        <f aca="false">IFERROR(MATCH($A17,Species!$A$2:$A$300,0),"")</f>
        <v>13</v>
      </c>
    </row>
    <row r="18" customFormat="false" ht="14.25" hidden="false" customHeight="true" outlineLevel="0" collapsed="false">
      <c r="A18" s="4" t="s">
        <v>34</v>
      </c>
      <c r="B18" s="5" t="str">
        <f aca="false">IFERROR(INDEX(Species!$B$2:$B$300,$R18),"NOT IN SPECIES")</f>
        <v>Neotropical rattlesnake</v>
      </c>
      <c r="C18" s="6" t="n">
        <f aca="false">IF(w_pot+w_qty&lt;=0,"",IF(AND(OR(w_pot=0,ISNUMBER(K18)),OR(w_qty=0,ISNUMBER(L18))),(w_pot*N(K18)+w_qty*N(L18))/(w_pot*ISNUMBER(K18)+w_qty*ISNUMBER(L18)),IF(ISNUMBER(K18),"needs yield","needs LD50")))</f>
        <v>70.1762865194064</v>
      </c>
      <c r="D18" s="7" t="n">
        <f aca="false">IF(ISNUMBER(C18),RANK(C18,$C$2:$C$300),"")</f>
        <v>16</v>
      </c>
      <c r="E18" s="6" t="n">
        <f aca="false">IF(w_enc+w_bite+w_onset+w_access&lt;=0,"",IF(Q18&lt;min_dims,"insufficient data",(w_enc*N(M18)+w_bite*N(N18)+w_onset*N(O18)+w_access*N(P18))/(w_enc*ISNUMBER(M18)+w_bite*ISNUMBER(N18)+w_onset*ISNUMBER(O18)+w_access*ISNUMBER(P18))))</f>
        <v>44.017094017094</v>
      </c>
      <c r="F18" s="7" t="n">
        <f aca="false">IF(ISNUMBER(E18),RANK(E18,$E$2:$E$300),"")</f>
        <v>42</v>
      </c>
      <c r="G18" s="8" t="str">
        <f aca="false">IFERROR(IF(OR(INDEX(Species!$I$2:$I$300,$R18)="",INDEX(Species!$M$2:$M$300,$R18)=""),"",CHAR(MAX(CODE(INDEX(Species!$I$2:$I$300,$R18)),CODE(INDEX(Species!$M$2:$M$300,$R18))))),"")</f>
        <v>C</v>
      </c>
      <c r="H18" s="9" t="str">
        <f aca="false">IFERROR(MID(IF(AND(ISNUMBER(INDEX(Species!$J$2:$J$300,$R18)),N(INDEX(Species!$J$2:$J$300,$R18))&gt;1.5),"; LD50 sources differ "&amp;TEXT(INDEX(Species!$J$2:$J$300,$R18),"0.0")&amp;"x","")&amp;IF(AND(INDEX(Species!$H$2:$H$300,$R18)&lt;&gt;"",INDEX(Species!$H$2:$H$300,$R18)&lt;&gt;"SC"),"; LD50 route "&amp;INDEX(Species!$H$2:$H$300,$R18),"")&amp;IF(INDEX(Species!$I$2:$I$300,$R18)="D","; LD50 Tier D","")&amp;IF(AND(ISNUMBER(INDEX(Species!$N$2:$N$300,$R18)),N(INDEX(Species!$N$2:$N$300,$R18))&gt;1.5),"; yield sources differ "&amp;TEXT(INDEX(Species!$N$2:$N$300,$R18),"0.0")&amp;"x","")&amp;IF(INDEX(Species!$M$2:$M$300,$R18)="D","; yield Tier D",""),3,300),"")</f>
        <v>yield sources differ 3.0x</v>
      </c>
      <c r="I18" s="5" t="str">
        <f aca="false">IFERROR(INDEX(Species!$S$2:$S$300,$R18)&amp;"","")</f>
        <v/>
      </c>
      <c r="J18" s="5" t="str">
        <f aca="false">IFERROR(INDEX(Species!$T$2:$T$300,$R18)&amp;"","")</f>
        <v/>
      </c>
      <c r="K18" s="10" t="n">
        <f aca="false">IFERROR(MEDIAN(0,100*(LOG10(ld_least)-LOG10(INDEX(Species!$G$2:$G$300,$R18)))/(LOG10(ld_least)-LOG10(ld_most)),100),"")</f>
        <v>72.9504572276188</v>
      </c>
      <c r="L18" s="10" t="n">
        <f aca="false">IFERROR(MEDIAN(0,100*(LOG10(INDEX(Species!$L$2:$L$300,$R18))-LOG10(y_min))/(LOG10(y_max)-LOG10(y_min)),100),"")</f>
        <v>67.4021158111939</v>
      </c>
      <c r="M18" s="10" t="n">
        <f aca="false">IFERROR(IF(ISNUMBER(INDEX(Species!$O$2:$O$300,$R18)),ord_floor+(ord_ceil-ord_floor)*(INDEX(Species!$O$2:$O$300,$R18)-1)/9,""),"")</f>
        <v>54.4444444444444</v>
      </c>
      <c r="N18" s="10" t="n">
        <f aca="false">IFERROR(IF(ISNUMBER(INDEX(Species!$P$2:$P$300,$R18)),ord_floor+(ord_ceil-ord_floor)*(INDEX(Species!$P$2:$P$300,$R18)-1)/4,""),"")</f>
        <v>50</v>
      </c>
      <c r="O18" s="10" t="n">
        <f aca="false">IFERROR(IF(ISNUMBER(INDEX(onset_ord,MATCH(INDEX(Species!$Q$2:$Q$300,$R18),onset_labels,0))),ord_floor+(ord_ceil-ord_floor)*(IF(onset_dir="mortality",6-INDEX(onset_ord,MATCH(INDEX(Species!$Q$2:$Q$300,$R18),onset_labels,0)),INDEX(onset_ord,MATCH(INDEX(Species!$Q$2:$Q$300,$R18),onset_labels,0)))-1)/4,""),"")</f>
        <v>30</v>
      </c>
      <c r="P18" s="10" t="n">
        <f aca="false">IFERROR(IF(ISNUMBER(INDEX(access_ord,MATCH(INDEX(Species!$R$2:$R$300,$R18),access_labels,0))),ord_floor+(ord_ceil-ord_floor)*(INDEX(access_ord,MATCH(INDEX(Species!$R$2:$R$300,$R18),access_labels,0))-1)/4,""),"")</f>
        <v>30</v>
      </c>
      <c r="Q18" s="5" t="n">
        <f aca="false">ISNUMBER(M18)*(w_enc&gt;0)+ISNUMBER(N18)*(w_bite&gt;0)+ISNUMBER(O18)*(w_onset&gt;0)+ISNUMBER(P18)*(w_access&gt;0)</f>
        <v>4</v>
      </c>
      <c r="R18" s="11" t="n">
        <f aca="false">IFERROR(MATCH($A18,Species!$A$2:$A$300,0),"")</f>
        <v>16</v>
      </c>
    </row>
    <row r="19" customFormat="false" ht="14.25" hidden="false" customHeight="true" outlineLevel="0" collapsed="false">
      <c r="A19" s="4" t="s">
        <v>35</v>
      </c>
      <c r="B19" s="5" t="str">
        <f aca="false">IFERROR(INDEX(Species!$B$2:$B$300,$R19),"NOT IN SPECIES")</f>
        <v>Jararacussu</v>
      </c>
      <c r="C19" s="6" t="n">
        <f aca="false">IF(w_pot+w_qty&lt;=0,"",IF(AND(OR(w_pot=0,ISNUMBER(K19)),OR(w_qty=0,ISNUMBER(L19))),(w_pot*N(K19)+w_qty*N(L19))/(w_pot*ISNUMBER(K19)+w_qty*ISNUMBER(L19)),IF(ISNUMBER(K19),"needs yield","needs LD50")))</f>
        <v>69.0166908313959</v>
      </c>
      <c r="D19" s="7" t="n">
        <f aca="false">IF(ISNUMBER(C19),RANK(C19,$C$2:$C$300),"")</f>
        <v>19</v>
      </c>
      <c r="E19" s="6" t="n">
        <f aca="false">IF(w_enc+w_bite+w_onset+w_access&lt;=0,"",IF(Q19&lt;min_dims,"insufficient data",(w_enc*N(M19)+w_bite*N(N19)+w_onset*N(O19)+w_access*N(P19))/(w_enc*ISNUMBER(M19)+w_bite*ISNUMBER(N19)+w_onset*ISNUMBER(O19)+w_access*ISNUMBER(P19))))</f>
        <v>54.4444444444444</v>
      </c>
      <c r="F19" s="7" t="n">
        <f aca="false">IF(ISNUMBER(E19),RANK(E19,$E$2:$E$300),"")</f>
        <v>20</v>
      </c>
      <c r="G19" s="8" t="str">
        <f aca="false">IFERROR(IF(OR(INDEX(Species!$I$2:$I$300,$R19)="",INDEX(Species!$M$2:$M$300,$R19)=""),"",CHAR(MAX(CODE(INDEX(Species!$I$2:$I$300,$R19)),CODE(INDEX(Species!$M$2:$M$300,$R19))))),"")</f>
        <v>C</v>
      </c>
      <c r="H19" s="9" t="str">
        <f aca="false">IFERROR(MID(IF(AND(ISNUMBER(INDEX(Species!$J$2:$J$300,$R19)),N(INDEX(Species!$J$2:$J$300,$R19))&gt;1.5),"; LD50 sources differ "&amp;TEXT(INDEX(Species!$J$2:$J$300,$R19),"0.0")&amp;"x","")&amp;IF(AND(INDEX(Species!$H$2:$H$300,$R19)&lt;&gt;"",INDEX(Species!$H$2:$H$300,$R19)&lt;&gt;"SC"),"; LD50 route "&amp;INDEX(Species!$H$2:$H$300,$R19),"")&amp;IF(INDEX(Species!$I$2:$I$300,$R19)="D","; LD50 Tier D","")&amp;IF(AND(ISNUMBER(INDEX(Species!$N$2:$N$300,$R19)),N(INDEX(Species!$N$2:$N$300,$R19))&gt;1.5),"; yield sources differ "&amp;TEXT(INDEX(Species!$N$2:$N$300,$R19),"0.0")&amp;"x","")&amp;IF(INDEX(Species!$M$2:$M$300,$R19)="D","; yield Tier D",""),3,300),"")</f>
        <v/>
      </c>
      <c r="I19" s="5" t="str">
        <f aca="false">IFERROR(INDEX(Species!$S$2:$S$300,$R19)&amp;"","")</f>
        <v/>
      </c>
      <c r="J19" s="5" t="str">
        <f aca="false">IFERROR(INDEX(Species!$T$2:$T$300,$R19)&amp;"","")</f>
        <v/>
      </c>
      <c r="K19" s="10" t="n">
        <f aca="false">IFERROR(MEDIAN(0,100*(LOG10(ld_least)-LOG10(INDEX(Species!$G$2:$G$300,$R19)))/(LOG10(ld_least)-LOG10(ld_most)),100),"")</f>
        <v>54.7885447037033</v>
      </c>
      <c r="L19" s="10" t="n">
        <f aca="false">IFERROR(MEDIAN(0,100*(LOG10(INDEX(Species!$L$2:$L$300,$R19))-LOG10(y_min))/(LOG10(y_max)-LOG10(y_min)),100),"")</f>
        <v>83.2448369590886</v>
      </c>
      <c r="M19" s="10" t="n">
        <f aca="false">IFERROR(IF(ISNUMBER(INDEX(Species!$O$2:$O$300,$R19)),ord_floor+(ord_ceil-ord_floor)*(INDEX(Species!$O$2:$O$300,$R19)-1)/9,""),"")</f>
        <v>45.5555555555556</v>
      </c>
      <c r="N19" s="10" t="n">
        <f aca="false">IFERROR(IF(ISNUMBER(INDEX(Species!$P$2:$P$300,$R19)),ord_floor+(ord_ceil-ord_floor)*(INDEX(Species!$P$2:$P$300,$R19)-1)/4,""),"")</f>
        <v>70</v>
      </c>
      <c r="O19" s="10" t="n">
        <f aca="false">IFERROR(IF(ISNUMBER(INDEX(onset_ord,MATCH(INDEX(Species!$Q$2:$Q$300,$R19),onset_labels,0))),ord_floor+(ord_ceil-ord_floor)*(IF(onset_dir="mortality",6-INDEX(onset_ord,MATCH(INDEX(Species!$Q$2:$Q$300,$R19),onset_labels,0)),INDEX(onset_ord,MATCH(INDEX(Species!$Q$2:$Q$300,$R19),onset_labels,0)))-1)/4,""),"")</f>
        <v>70</v>
      </c>
      <c r="P19" s="10" t="n">
        <f aca="false">IFERROR(IF(ISNUMBER(INDEX(access_ord,MATCH(INDEX(Species!$R$2:$R$300,$R19),access_labels,0))),ord_floor+(ord_ceil-ord_floor)*(INDEX(access_ord,MATCH(INDEX(Species!$R$2:$R$300,$R19),access_labels,0))-1)/4,""),"")</f>
        <v>30</v>
      </c>
      <c r="Q19" s="5" t="n">
        <f aca="false">ISNUMBER(M19)*(w_enc&gt;0)+ISNUMBER(N19)*(w_bite&gt;0)+ISNUMBER(O19)*(w_onset&gt;0)+ISNUMBER(P19)*(w_access&gt;0)</f>
        <v>4</v>
      </c>
      <c r="R19" s="11" t="n">
        <f aca="false">IFERROR(MATCH($A19,Species!$A$2:$A$300,0),"")</f>
        <v>15</v>
      </c>
    </row>
    <row r="20" customFormat="false" ht="14.25" hidden="false" customHeight="true" outlineLevel="0" collapsed="false">
      <c r="A20" s="4" t="s">
        <v>36</v>
      </c>
      <c r="B20" s="5" t="str">
        <f aca="false">IFERROR(INDEX(Species!$B$2:$B$300,$R20),"NOT IN SPECIES")</f>
        <v>Desert horned viper</v>
      </c>
      <c r="C20" s="6" t="n">
        <f aca="false">IF(w_pot+w_qty&lt;=0,"",IF(AND(OR(w_pot=0,ISNUMBER(K20)),OR(w_qty=0,ISNUMBER(L20))),(w_pot*N(K20)+w_qty*N(L20))/(w_pot*ISNUMBER(K20)+w_qty*ISNUMBER(L20)),IF(ISNUMBER(K20),"needs yield","needs LD50")))</f>
        <v>69.59353269512</v>
      </c>
      <c r="D20" s="7" t="n">
        <f aca="false">IF(ISNUMBER(C20),RANK(C20,$C$2:$C$300),"")</f>
        <v>17</v>
      </c>
      <c r="E20" s="6" t="n">
        <f aca="false">IF(w_enc+w_bite+w_onset+w_access&lt;=0,"",IF(Q20&lt;min_dims,"insufficient data",(w_enc*N(M20)+w_bite*N(N20)+w_onset*N(O20)+w_access*N(P20))/(w_enc*ISNUMBER(M20)+w_bite*ISNUMBER(N20)+w_onset*ISNUMBER(O20)+w_access*ISNUMBER(P20))))</f>
        <v>41.7948717948718</v>
      </c>
      <c r="F20" s="7" t="n">
        <f aca="false">IF(ISNUMBER(E20),RANK(E20,$E$2:$E$300),"")</f>
        <v>52</v>
      </c>
      <c r="G20" s="8" t="str">
        <f aca="false">IFERROR(IF(OR(INDEX(Species!$I$2:$I$300,$R20)="",INDEX(Species!$M$2:$M$300,$R20)=""),"",CHAR(MAX(CODE(INDEX(Species!$I$2:$I$300,$R20)),CODE(INDEX(Species!$M$2:$M$300,$R20))))),"")</f>
        <v>C</v>
      </c>
      <c r="H20" s="9" t="str">
        <f aca="false">IFERROR(MID(IF(AND(ISNUMBER(INDEX(Species!$J$2:$J$300,$R20)),N(INDEX(Species!$J$2:$J$300,$R20))&gt;1.5),"; LD50 sources differ "&amp;TEXT(INDEX(Species!$J$2:$J$300,$R20),"0.0")&amp;"x","")&amp;IF(AND(INDEX(Species!$H$2:$H$300,$R20)&lt;&gt;"",INDEX(Species!$H$2:$H$300,$R20)&lt;&gt;"SC"),"; LD50 route "&amp;INDEX(Species!$H$2:$H$300,$R20),"")&amp;IF(INDEX(Species!$I$2:$I$300,$R20)="D","; LD50 Tier D","")&amp;IF(AND(ISNUMBER(INDEX(Species!$N$2:$N$300,$R20)),N(INDEX(Species!$N$2:$N$300,$R20))&gt;1.5),"; yield sources differ "&amp;TEXT(INDEX(Species!$N$2:$N$300,$R20),"0.0")&amp;"x","")&amp;IF(INDEX(Species!$M$2:$M$300,$R20)="D","; yield Tier D",""),3,300),"")</f>
        <v/>
      </c>
      <c r="I20" s="5" t="str">
        <f aca="false">IFERROR(INDEX(Species!$S$2:$S$300,$R20)&amp;"","")</f>
        <v/>
      </c>
      <c r="J20" s="5" t="str">
        <f aca="false">IFERROR(INDEX(Species!$T$2:$T$300,$R20)&amp;"","")</f>
        <v/>
      </c>
      <c r="K20" s="10" t="n">
        <f aca="false">IFERROR(MEDIAN(0,100*(LOG10(ld_least)-LOG10(INDEX(Species!$G$2:$G$300,$R20)))/(LOG10(ld_least)-LOG10(ld_most)),100),"")</f>
        <v>82.6319443576585</v>
      </c>
      <c r="L20" s="10" t="n">
        <f aca="false">IFERROR(MEDIAN(0,100*(LOG10(INDEX(Species!$L$2:$L$300,$R20))-LOG10(y_min))/(LOG10(y_max)-LOG10(y_min)),100),"")</f>
        <v>56.5551210325815</v>
      </c>
      <c r="M20" s="10" t="n">
        <f aca="false">IFERROR(IF(ISNUMBER(INDEX(Species!$O$2:$O$300,$R20)),ord_floor+(ord_ceil-ord_floor)*(INDEX(Species!$O$2:$O$300,$R20)-1)/9,""),"")</f>
        <v>36.6666666666667</v>
      </c>
      <c r="N20" s="10" t="n">
        <f aca="false">IFERROR(IF(ISNUMBER(INDEX(Species!$P$2:$P$300,$R20)),ord_floor+(ord_ceil-ord_floor)*(INDEX(Species!$P$2:$P$300,$R20)-1)/4,""),"")</f>
        <v>30</v>
      </c>
      <c r="O20" s="10" t="n">
        <f aca="false">IFERROR(IF(ISNUMBER(INDEX(onset_ord,MATCH(INDEX(Species!$Q$2:$Q$300,$R20),onset_labels,0))),ord_floor+(ord_ceil-ord_floor)*(IF(onset_dir="mortality",6-INDEX(onset_ord,MATCH(INDEX(Species!$Q$2:$Q$300,$R20),onset_labels,0)),INDEX(onset_ord,MATCH(INDEX(Species!$Q$2:$Q$300,$R20),onset_labels,0)))-1)/4,""),"")</f>
        <v>70</v>
      </c>
      <c r="P20" s="10" t="n">
        <f aca="false">IFERROR(IF(ISNUMBER(INDEX(access_ord,MATCH(INDEX(Species!$R$2:$R$300,$R20),access_labels,0))),ord_floor+(ord_ceil-ord_floor)*(INDEX(access_ord,MATCH(INDEX(Species!$R$2:$R$300,$R20),access_labels,0))-1)/4,""),"")</f>
        <v>30</v>
      </c>
      <c r="Q20" s="5" t="n">
        <f aca="false">ISNUMBER(M20)*(w_enc&gt;0)+ISNUMBER(N20)*(w_bite&gt;0)+ISNUMBER(O20)*(w_onset&gt;0)+ISNUMBER(P20)*(w_access&gt;0)</f>
        <v>4</v>
      </c>
      <c r="R20" s="11" t="n">
        <f aca="false">IFERROR(MATCH($A20,Species!$A$2:$A$300,0),"")</f>
        <v>20</v>
      </c>
    </row>
    <row r="21" customFormat="false" ht="14.25" hidden="false" customHeight="true" outlineLevel="0" collapsed="false">
      <c r="A21" s="4" t="s">
        <v>37</v>
      </c>
      <c r="B21" s="5" t="str">
        <f aca="false">IFERROR(INDEX(Species!$B$2:$B$300,$R21),"NOT IN SPECIES")</f>
        <v>Rinkhals</v>
      </c>
      <c r="C21" s="6" t="n">
        <f aca="false">IF(w_pot+w_qty&lt;=0,"",IF(AND(OR(w_pot=0,ISNUMBER(K21)),OR(w_qty=0,ISNUMBER(L21))),(w_pot*N(K21)+w_qty*N(L21))/(w_pot*ISNUMBER(K21)+w_qty*ISNUMBER(L21)),IF(ISNUMBER(K21),"needs yield","needs LD50")))</f>
        <v>69.0625336047115</v>
      </c>
      <c r="D21" s="7" t="n">
        <f aca="false">IF(ISNUMBER(C21),RANK(C21,$C$2:$C$300),"")</f>
        <v>18</v>
      </c>
      <c r="E21" s="6" t="n">
        <f aca="false">IF(w_enc+w_bite+w_onset+w_access&lt;=0,"",IF(Q21&lt;min_dims,"insufficient data",(w_enc*N(M21)+w_bite*N(N21)+w_onset*N(O21)+w_access*N(P21))/(w_enc*ISNUMBER(M21)+w_bite*ISNUMBER(N21)+w_onset*ISNUMBER(O21)+w_access*ISNUMBER(P21))))</f>
        <v>44.017094017094</v>
      </c>
      <c r="F21" s="7" t="n">
        <f aca="false">IF(ISNUMBER(E21),RANK(E21,$E$2:$E$300),"")</f>
        <v>42</v>
      </c>
      <c r="G21" s="8" t="str">
        <f aca="false">IFERROR(IF(OR(INDEX(Species!$I$2:$I$300,$R21)="",INDEX(Species!$M$2:$M$300,$R21)=""),"",CHAR(MAX(CODE(INDEX(Species!$I$2:$I$300,$R21)),CODE(INDEX(Species!$M$2:$M$300,$R21))))),"")</f>
        <v>C</v>
      </c>
      <c r="H21" s="9" t="str">
        <f aca="false">IFERROR(MID(IF(AND(ISNUMBER(INDEX(Species!$J$2:$J$300,$R21)),N(INDEX(Species!$J$2:$J$300,$R21))&gt;1.5),"; LD50 sources differ "&amp;TEXT(INDEX(Species!$J$2:$J$300,$R21),"0.0")&amp;"x","")&amp;IF(AND(INDEX(Species!$H$2:$H$300,$R21)&lt;&gt;"",INDEX(Species!$H$2:$H$300,$R21)&lt;&gt;"SC"),"; LD50 route "&amp;INDEX(Species!$H$2:$H$300,$R21),"")&amp;IF(INDEX(Species!$I$2:$I$300,$R21)="D","; LD50 Tier D","")&amp;IF(AND(ISNUMBER(INDEX(Species!$N$2:$N$300,$R21)),N(INDEX(Species!$N$2:$N$300,$R21))&gt;1.5),"; yield sources differ "&amp;TEXT(INDEX(Species!$N$2:$N$300,$R21),"0.0")&amp;"x","")&amp;IF(INDEX(Species!$M$2:$M$300,$R21)="D","; yield Tier D",""),3,300),"")</f>
        <v/>
      </c>
      <c r="I21" s="5" t="str">
        <f aca="false">IFERROR(INDEX(Species!$S$2:$S$300,$R21)&amp;"","")</f>
        <v/>
      </c>
      <c r="J21" s="5" t="str">
        <f aca="false">IFERROR(INDEX(Species!$T$2:$T$300,$R21)&amp;"","")</f>
        <v/>
      </c>
      <c r="K21" s="10" t="n">
        <f aca="false">IFERROR(MEDIAN(0,100*(LOG10(ld_least)-LOG10(INDEX(Species!$G$2:$G$300,$R21)))/(LOG10(ld_least)-LOG10(ld_most)),100),"")</f>
        <v>68.2462802478571</v>
      </c>
      <c r="L21" s="10" t="n">
        <f aca="false">IFERROR(MEDIAN(0,100*(LOG10(INDEX(Species!$L$2:$L$300,$R21))-LOG10(y_min))/(LOG10(y_max)-LOG10(y_min)),100),"")</f>
        <v>69.8787869615659</v>
      </c>
      <c r="M21" s="10" t="n">
        <f aca="false">IFERROR(IF(ISNUMBER(INDEX(Species!$O$2:$O$300,$R21)),ord_floor+(ord_ceil-ord_floor)*(INDEX(Species!$O$2:$O$300,$R21)-1)/9,""),"")</f>
        <v>54.4444444444444</v>
      </c>
      <c r="N21" s="10" t="n">
        <f aca="false">IFERROR(IF(ISNUMBER(INDEX(Species!$P$2:$P$300,$R21)),ord_floor+(ord_ceil-ord_floor)*(INDEX(Species!$P$2:$P$300,$R21)-1)/4,""),"")</f>
        <v>50</v>
      </c>
      <c r="O21" s="10" t="n">
        <f aca="false">IFERROR(IF(ISNUMBER(INDEX(onset_ord,MATCH(INDEX(Species!$Q$2:$Q$300,$R21),onset_labels,0))),ord_floor+(ord_ceil-ord_floor)*(IF(onset_dir="mortality",6-INDEX(onset_ord,MATCH(INDEX(Species!$Q$2:$Q$300,$R21),onset_labels,0)),INDEX(onset_ord,MATCH(INDEX(Species!$Q$2:$Q$300,$R21),onset_labels,0)))-1)/4,""),"")</f>
        <v>30</v>
      </c>
      <c r="P21" s="10" t="n">
        <f aca="false">IFERROR(IF(ISNUMBER(INDEX(access_ord,MATCH(INDEX(Species!$R$2:$R$300,$R21),access_labels,0))),ord_floor+(ord_ceil-ord_floor)*(INDEX(access_ord,MATCH(INDEX(Species!$R$2:$R$300,$R21),access_labels,0))-1)/4,""),"")</f>
        <v>30</v>
      </c>
      <c r="Q21" s="5" t="n">
        <f aca="false">ISNUMBER(M21)*(w_enc&gt;0)+ISNUMBER(N21)*(w_bite&gt;0)+ISNUMBER(O21)*(w_onset&gt;0)+ISNUMBER(P21)*(w_access&gt;0)</f>
        <v>4</v>
      </c>
      <c r="R21" s="11" t="n">
        <f aca="false">IFERROR(MATCH($A21,Species!$A$2:$A$300,0),"")</f>
        <v>54</v>
      </c>
    </row>
    <row r="22" customFormat="false" ht="14.25" hidden="false" customHeight="true" outlineLevel="0" collapsed="false">
      <c r="A22" s="4" t="s">
        <v>38</v>
      </c>
      <c r="B22" s="5" t="str">
        <f aca="false">IFERROR(INDEX(Species!$B$2:$B$300,$R22),"NOT IN SPECIES")</f>
        <v>Cape cobra</v>
      </c>
      <c r="C22" s="6" t="n">
        <f aca="false">IF(w_pot+w_qty&lt;=0,"",IF(AND(OR(w_pot=0,ISNUMBER(K22)),OR(w_qty=0,ISNUMBER(L22))),(w_pot*N(K22)+w_qty*N(L22))/(w_pot*ISNUMBER(K22)+w_qty*ISNUMBER(L22)),IF(ISNUMBER(K22),"needs yield","needs LD50")))</f>
        <v>68.5938162347624</v>
      </c>
      <c r="D22" s="7" t="n">
        <f aca="false">IF(ISNUMBER(C22),RANK(C22,$C$2:$C$300),"")</f>
        <v>22</v>
      </c>
      <c r="E22" s="6" t="n">
        <f aca="false">IF(w_enc+w_bite+w_onset+w_access&lt;=0,"",IF(Q22&lt;min_dims,"insufficient data",(w_enc*N(M22)+w_bite*N(N22)+w_onset*N(O22)+w_access*N(P22))/(w_enc*ISNUMBER(M22)+w_bite*ISNUMBER(N22)+w_onset*ISNUMBER(O22)+w_access*ISNUMBER(P22))))</f>
        <v>52.0512820512821</v>
      </c>
      <c r="F22" s="7" t="n">
        <f aca="false">IF(ISNUMBER(E22),RANK(E22,$E$2:$E$300),"")</f>
        <v>23</v>
      </c>
      <c r="G22" s="8" t="str">
        <f aca="false">IFERROR(IF(OR(INDEX(Species!$I$2:$I$300,$R22)="",INDEX(Species!$M$2:$M$300,$R22)=""),"",CHAR(MAX(CODE(INDEX(Species!$I$2:$I$300,$R22)),CODE(INDEX(Species!$M$2:$M$300,$R22))))),"")</f>
        <v>C</v>
      </c>
      <c r="H22" s="9" t="str">
        <f aca="false">IFERROR(MID(IF(AND(ISNUMBER(INDEX(Species!$J$2:$J$300,$R22)),N(INDEX(Species!$J$2:$J$300,$R22))&gt;1.5),"; LD50 sources differ "&amp;TEXT(INDEX(Species!$J$2:$J$300,$R22),"0.0")&amp;"x","")&amp;IF(AND(INDEX(Species!$H$2:$H$300,$R22)&lt;&gt;"",INDEX(Species!$H$2:$H$300,$R22)&lt;&gt;"SC"),"; LD50 route "&amp;INDEX(Species!$H$2:$H$300,$R22),"")&amp;IF(INDEX(Species!$I$2:$I$300,$R22)="D","; LD50 Tier D","")&amp;IF(AND(ISNUMBER(INDEX(Species!$N$2:$N$300,$R22)),N(INDEX(Species!$N$2:$N$300,$R22))&gt;1.5),"; yield sources differ "&amp;TEXT(INDEX(Species!$N$2:$N$300,$R22),"0.0")&amp;"x","")&amp;IF(INDEX(Species!$M$2:$M$300,$R22)="D","; yield Tier D",""),3,300),"")</f>
        <v/>
      </c>
      <c r="I22" s="5" t="str">
        <f aca="false">IFERROR(INDEX(Species!$S$2:$S$300,$R22)&amp;"","")</f>
        <v/>
      </c>
      <c r="J22" s="5" t="str">
        <f aca="false">IFERROR(INDEX(Species!$T$2:$T$300,$R22)&amp;"","")</f>
        <v/>
      </c>
      <c r="K22" s="10" t="n">
        <f aca="false">IFERROR(MEDIAN(0,100*(LOG10(ld_least)-LOG10(INDEX(Species!$G$2:$G$300,$R22)))/(LOG10(ld_least)-LOG10(ld_most)),100),"")</f>
        <v>57.3385473537053</v>
      </c>
      <c r="L22" s="10" t="n">
        <f aca="false">IFERROR(MEDIAN(0,100*(LOG10(INDEX(Species!$L$2:$L$300,$R22))-LOG10(y_min))/(LOG10(y_max)-LOG10(y_min)),100),"")</f>
        <v>79.8490851158196</v>
      </c>
      <c r="M22" s="10" t="n">
        <f aca="false">IFERROR(IF(ISNUMBER(INDEX(Species!$O$2:$O$300,$R22)),ord_floor+(ord_ceil-ord_floor)*(INDEX(Species!$O$2:$O$300,$R22)-1)/9,""),"")</f>
        <v>63.3333333333333</v>
      </c>
      <c r="N22" s="10" t="n">
        <f aca="false">IFERROR(IF(ISNUMBER(INDEX(Species!$P$2:$P$300,$R22)),ord_floor+(ord_ceil-ord_floor)*(INDEX(Species!$P$2:$P$300,$R22)-1)/4,""),"")</f>
        <v>70</v>
      </c>
      <c r="O22" s="10" t="n">
        <f aca="false">IFERROR(IF(ISNUMBER(INDEX(onset_ord,MATCH(INDEX(Species!$Q$2:$Q$300,$R22),onset_labels,0))),ord_floor+(ord_ceil-ord_floor)*(IF(onset_dir="mortality",6-INDEX(onset_ord,MATCH(INDEX(Species!$Q$2:$Q$300,$R22),onset_labels,0)),INDEX(onset_ord,MATCH(INDEX(Species!$Q$2:$Q$300,$R22),onset_labels,0)))-1)/4,""),"")</f>
        <v>30</v>
      </c>
      <c r="P22" s="10" t="n">
        <f aca="false">IFERROR(IF(ISNUMBER(INDEX(access_ord,MATCH(INDEX(Species!$R$2:$R$300,$R22),access_labels,0))),ord_floor+(ord_ceil-ord_floor)*(INDEX(access_ord,MATCH(INDEX(Species!$R$2:$R$300,$R22),access_labels,0))-1)/4,""),"")</f>
        <v>30</v>
      </c>
      <c r="Q22" s="5" t="n">
        <f aca="false">ISNUMBER(M22)*(w_enc&gt;0)+ISNUMBER(N22)*(w_bite&gt;0)+ISNUMBER(O22)*(w_onset&gt;0)+ISNUMBER(P22)*(w_access&gt;0)</f>
        <v>4</v>
      </c>
      <c r="R22" s="11" t="n">
        <f aca="false">IFERROR(MATCH($A22,Species!$A$2:$A$300,0),"")</f>
        <v>75</v>
      </c>
    </row>
    <row r="23" customFormat="false" ht="14.25" hidden="false" customHeight="true" outlineLevel="0" collapsed="false">
      <c r="A23" s="4" t="s">
        <v>39</v>
      </c>
      <c r="B23" s="5" t="str">
        <f aca="false">IFERROR(INDEX(Species!$B$2:$B$300,$R23),"NOT IN SPECIES")</f>
        <v>Saw-scaled viper</v>
      </c>
      <c r="C23" s="6" t="n">
        <f aca="false">IF(w_pot+w_qty&lt;=0,"",IF(AND(OR(w_pot=0,ISNUMBER(K23)),OR(w_qty=0,ISNUMBER(L23))),(w_pot*N(K23)+w_qty*N(L23))/(w_pot*ISNUMBER(K23)+w_qty*ISNUMBER(L23)),IF(ISNUMBER(K23),"needs yield","needs LD50")))</f>
        <v>68.8955568819849</v>
      </c>
      <c r="D23" s="7" t="n">
        <f aca="false">IF(ISNUMBER(C23),RANK(C23,$C$2:$C$300),"")</f>
        <v>21</v>
      </c>
      <c r="E23" s="6" t="n">
        <f aca="false">IF(w_enc+w_bite+w_onset+w_access&lt;=0,"",IF(Q23&lt;min_dims,"insufficient data",(w_enc*N(M23)+w_bite*N(N23)+w_onset*N(O23)+w_access*N(P23))/(w_enc*ISNUMBER(M23)+w_bite*ISNUMBER(N23)+w_onset*ISNUMBER(O23)+w_access*ISNUMBER(P23))))</f>
        <v>77.6923076923077</v>
      </c>
      <c r="F23" s="7" t="n">
        <f aca="false">IF(ISNUMBER(E23),RANK(E23,$E$2:$E$300),"")</f>
        <v>1</v>
      </c>
      <c r="G23" s="8" t="str">
        <f aca="false">IFERROR(IF(OR(INDEX(Species!$I$2:$I$300,$R23)="",INDEX(Species!$M$2:$M$300,$R23)=""),"",CHAR(MAX(CODE(INDEX(Species!$I$2:$I$300,$R23)),CODE(INDEX(Species!$M$2:$M$300,$R23))))),"")</f>
        <v>C</v>
      </c>
      <c r="H23" s="9" t="str">
        <f aca="false">IFERROR(MID(IF(AND(ISNUMBER(INDEX(Species!$J$2:$J$300,$R23)),N(INDEX(Species!$J$2:$J$300,$R23))&gt;1.5),"; LD50 sources differ "&amp;TEXT(INDEX(Species!$J$2:$J$300,$R23),"0.0")&amp;"x","")&amp;IF(AND(INDEX(Species!$H$2:$H$300,$R23)&lt;&gt;"",INDEX(Species!$H$2:$H$300,$R23)&lt;&gt;"SC"),"; LD50 route "&amp;INDEX(Species!$H$2:$H$300,$R23),"")&amp;IF(INDEX(Species!$I$2:$I$300,$R23)="D","; LD50 Tier D","")&amp;IF(AND(ISNUMBER(INDEX(Species!$N$2:$N$300,$R23)),N(INDEX(Species!$N$2:$N$300,$R23))&gt;1.5),"; yield sources differ "&amp;TEXT(INDEX(Species!$N$2:$N$300,$R23),"0.0")&amp;"x","")&amp;IF(INDEX(Species!$M$2:$M$300,$R23)="D","; yield Tier D",""),3,300),"")</f>
        <v/>
      </c>
      <c r="I23" s="5" t="str">
        <f aca="false">IFERROR(INDEX(Species!$S$2:$S$300,$R23)&amp;"","")</f>
        <v/>
      </c>
      <c r="J23" s="5" t="str">
        <f aca="false">IFERROR(INDEX(Species!$T$2:$T$300,$R23)&amp;"","")</f>
        <v/>
      </c>
      <c r="K23" s="10" t="n">
        <f aca="false">IFERROR(MEDIAN(0,100*(LOG10(ld_least)-LOG10(INDEX(Species!$G$2:$G$300,$R23)))/(LOG10(ld_least)-LOG10(ld_most)),100),"")</f>
        <v>75.2340999760758</v>
      </c>
      <c r="L23" s="10" t="n">
        <f aca="false">IFERROR(MEDIAN(0,100*(LOG10(INDEX(Species!$L$2:$L$300,$R23))-LOG10(y_min))/(LOG10(y_max)-LOG10(y_min)),100),"")</f>
        <v>62.557013787894</v>
      </c>
      <c r="M23" s="10" t="n">
        <f aca="false">IFERROR(IF(ISNUMBER(INDEX(Species!$O$2:$O$300,$R23)),ord_floor+(ord_ceil-ord_floor)*(INDEX(Species!$O$2:$O$300,$R23)-1)/9,""),"")</f>
        <v>90</v>
      </c>
      <c r="N23" s="10" t="n">
        <f aca="false">IFERROR(IF(ISNUMBER(INDEX(Species!$P$2:$P$300,$R23)),ord_floor+(ord_ceil-ord_floor)*(INDEX(Species!$P$2:$P$300,$R23)-1)/4,""),"")</f>
        <v>90</v>
      </c>
      <c r="O23" s="10" t="n">
        <f aca="false">IFERROR(IF(ISNUMBER(INDEX(onset_ord,MATCH(INDEX(Species!$Q$2:$Q$300,$R23),onset_labels,0))),ord_floor+(ord_ceil-ord_floor)*(IF(onset_dir="mortality",6-INDEX(onset_ord,MATCH(INDEX(Species!$Q$2:$Q$300,$R23),onset_labels,0)),INDEX(onset_ord,MATCH(INDEX(Species!$Q$2:$Q$300,$R23),onset_labels,0)))-1)/4,""),"")</f>
        <v>90</v>
      </c>
      <c r="P23" s="10" t="n">
        <f aca="false">IFERROR(IF(ISNUMBER(INDEX(access_ord,MATCH(INDEX(Species!$R$2:$R$300,$R23),access_labels,0))),ord_floor+(ord_ceil-ord_floor)*(INDEX(access_ord,MATCH(INDEX(Species!$R$2:$R$300,$R23),access_labels,0))-1)/4,""),"")</f>
        <v>10</v>
      </c>
      <c r="Q23" s="5" t="n">
        <f aca="false">ISNUMBER(M23)*(w_enc&gt;0)+ISNUMBER(N23)*(w_bite&gt;0)+ISNUMBER(O23)*(w_onset&gt;0)+ISNUMBER(P23)*(w_access&gt;0)</f>
        <v>4</v>
      </c>
      <c r="R23" s="11" t="n">
        <f aca="false">IFERROR(MATCH($A23,Species!$A$2:$A$300,0),"")</f>
        <v>19</v>
      </c>
    </row>
    <row r="24" customFormat="false" ht="14.25" hidden="false" customHeight="true" outlineLevel="0" collapsed="false">
      <c r="A24" s="4" t="s">
        <v>40</v>
      </c>
      <c r="B24" s="5" t="str">
        <f aca="false">IFERROR(INDEX(Species!$B$2:$B$300,$R24),"NOT IN SPECIES")</f>
        <v>Common lancehead</v>
      </c>
      <c r="C24" s="6" t="n">
        <f aca="false">IF(w_pot+w_qty&lt;=0,"",IF(AND(OR(w_pot=0,ISNUMBER(K24)),OR(w_qty=0,ISNUMBER(L24))),(w_pot*N(K24)+w_qty*N(L24))/(w_pot*ISNUMBER(K24)+w_qty*ISNUMBER(L24)),IF(ISNUMBER(K24),"needs yield","needs LD50")))</f>
        <v>68.2963780890936</v>
      </c>
      <c r="D24" s="7" t="n">
        <f aca="false">IF(ISNUMBER(C24),RANK(C24,$C$2:$C$300),"")</f>
        <v>23</v>
      </c>
      <c r="E24" s="6" t="n">
        <f aca="false">IF(w_enc+w_bite+w_onset+w_access&lt;=0,"",IF(Q24&lt;min_dims,"insufficient data",(w_enc*N(M24)+w_bite*N(N24)+w_onset*N(O24)+w_access*N(P24))/(w_enc*ISNUMBER(M24)+w_bite*ISNUMBER(N24)+w_onset*ISNUMBER(O24)+w_access*ISNUMBER(P24))))</f>
        <v>64.7008547008547</v>
      </c>
      <c r="F24" s="7" t="n">
        <f aca="false">IF(ISNUMBER(E24),RANK(E24,$E$2:$E$300),"")</f>
        <v>5</v>
      </c>
      <c r="G24" s="8" t="str">
        <f aca="false">IFERROR(IF(OR(INDEX(Species!$I$2:$I$300,$R24)="",INDEX(Species!$M$2:$M$300,$R24)=""),"",CHAR(MAX(CODE(INDEX(Species!$I$2:$I$300,$R24)),CODE(INDEX(Species!$M$2:$M$300,$R24))))),"")</f>
        <v>C</v>
      </c>
      <c r="H24" s="9" t="str">
        <f aca="false">IFERROR(MID(IF(AND(ISNUMBER(INDEX(Species!$J$2:$J$300,$R24)),N(INDEX(Species!$J$2:$J$300,$R24))&gt;1.5),"; LD50 sources differ "&amp;TEXT(INDEX(Species!$J$2:$J$300,$R24),"0.0")&amp;"x","")&amp;IF(AND(INDEX(Species!$H$2:$H$300,$R24)&lt;&gt;"",INDEX(Species!$H$2:$H$300,$R24)&lt;&gt;"SC"),"; LD50 route "&amp;INDEX(Species!$H$2:$H$300,$R24),"")&amp;IF(INDEX(Species!$I$2:$I$300,$R24)="D","; LD50 Tier D","")&amp;IF(AND(ISNUMBER(INDEX(Species!$N$2:$N$300,$R24)),N(INDEX(Species!$N$2:$N$300,$R24))&gt;1.5),"; yield sources differ "&amp;TEXT(INDEX(Species!$N$2:$N$300,$R24),"0.0")&amp;"x","")&amp;IF(INDEX(Species!$M$2:$M$300,$R24)="D","; yield Tier D",""),3,300),"")</f>
        <v/>
      </c>
      <c r="I24" s="5" t="str">
        <f aca="false">IFERROR(INDEX(Species!$S$2:$S$300,$R24)&amp;"","")</f>
        <v/>
      </c>
      <c r="J24" s="5" t="str">
        <f aca="false">IFERROR(INDEX(Species!$T$2:$T$300,$R24)&amp;"","")</f>
        <v/>
      </c>
      <c r="K24" s="10" t="n">
        <f aca="false">IFERROR(MEDIAN(0,100*(LOG10(ld_least)-LOG10(INDEX(Species!$G$2:$G$300,$R24)))/(LOG10(ld_least)-LOG10(ld_most)),100),"")</f>
        <v>59.7748715723325</v>
      </c>
      <c r="L24" s="10" t="n">
        <f aca="false">IFERROR(MEDIAN(0,100*(LOG10(INDEX(Species!$L$2:$L$300,$R24))-LOG10(y_min))/(LOG10(y_max)-LOG10(y_min)),100),"")</f>
        <v>76.8178846058546</v>
      </c>
      <c r="M24" s="10" t="n">
        <f aca="false">IFERROR(IF(ISNUMBER(INDEX(Species!$O$2:$O$300,$R24)),ord_floor+(ord_ceil-ord_floor)*(INDEX(Species!$O$2:$O$300,$R24)-1)/9,""),"")</f>
        <v>72.2222222222222</v>
      </c>
      <c r="N24" s="10" t="n">
        <f aca="false">IFERROR(IF(ISNUMBER(INDEX(Species!$P$2:$P$300,$R24)),ord_floor+(ord_ceil-ord_floor)*(INDEX(Species!$P$2:$P$300,$R24)-1)/4,""),"")</f>
        <v>70</v>
      </c>
      <c r="O24" s="10" t="n">
        <f aca="false">IFERROR(IF(ISNUMBER(INDEX(onset_ord,MATCH(INDEX(Species!$Q$2:$Q$300,$R24),onset_labels,0))),ord_floor+(ord_ceil-ord_floor)*(IF(onset_dir="mortality",6-INDEX(onset_ord,MATCH(INDEX(Species!$Q$2:$Q$300,$R24),onset_labels,0)),INDEX(onset_ord,MATCH(INDEX(Species!$Q$2:$Q$300,$R24),onset_labels,0)))-1)/4,""),"")</f>
        <v>70</v>
      </c>
      <c r="P24" s="10" t="n">
        <f aca="false">IFERROR(IF(ISNUMBER(INDEX(access_ord,MATCH(INDEX(Species!$R$2:$R$300,$R24),access_labels,0))),ord_floor+(ord_ceil-ord_floor)*(INDEX(access_ord,MATCH(INDEX(Species!$R$2:$R$300,$R24),access_labels,0))-1)/4,""),"")</f>
        <v>30</v>
      </c>
      <c r="Q24" s="5" t="n">
        <f aca="false">ISNUMBER(M24)*(w_enc&gt;0)+ISNUMBER(N24)*(w_bite&gt;0)+ISNUMBER(O24)*(w_onset&gt;0)+ISNUMBER(P24)*(w_access&gt;0)</f>
        <v>4</v>
      </c>
      <c r="R24" s="11" t="n">
        <f aca="false">IFERROR(MATCH($A24,Species!$A$2:$A$300,0),"")</f>
        <v>84</v>
      </c>
    </row>
    <row r="25" customFormat="false" ht="14.25" hidden="false" customHeight="true" outlineLevel="0" collapsed="false">
      <c r="A25" s="4" t="s">
        <v>41</v>
      </c>
      <c r="B25" s="5" t="str">
        <f aca="false">IFERROR(INDEX(Species!$B$2:$B$300,$R25),"NOT IN SPECIES")</f>
        <v>Common death adder</v>
      </c>
      <c r="C25" s="6" t="n">
        <f aca="false">IF(w_pot+w_qty&lt;=0,"",IF(AND(OR(w_pot=0,ISNUMBER(K25)),OR(w_qty=0,ISNUMBER(L25))),(w_pot*N(K25)+w_qty*N(L25))/(w_pot*ISNUMBER(K25)+w_qty*ISNUMBER(L25)),IF(ISNUMBER(K25),"needs yield","needs LD50")))</f>
        <v>68.2023969103177</v>
      </c>
      <c r="D25" s="7" t="n">
        <f aca="false">IF(ISNUMBER(C25),RANK(C25,$C$2:$C$300),"")</f>
        <v>24</v>
      </c>
      <c r="E25" s="6" t="n">
        <f aca="false">IF(w_enc+w_bite+w_onset+w_access&lt;=0,"",IF(Q25&lt;min_dims,"insufficient data",(w_enc*N(M25)+w_bite*N(N25)+w_onset*N(O25)+w_access*N(P25))/(w_enc*ISNUMBER(M25)+w_bite*ISNUMBER(N25)+w_onset*ISNUMBER(O25)+w_access*ISNUMBER(P25))))</f>
        <v>38.7179487179487</v>
      </c>
      <c r="F25" s="7" t="n">
        <f aca="false">IF(ISNUMBER(E25),RANK(E25,$E$2:$E$300),"")</f>
        <v>60</v>
      </c>
      <c r="G25" s="8" t="str">
        <f aca="false">IFERROR(IF(OR(INDEX(Species!$I$2:$I$300,$R25)="",INDEX(Species!$M$2:$M$300,$R25)=""),"",CHAR(MAX(CODE(INDEX(Species!$I$2:$I$300,$R25)),CODE(INDEX(Species!$M$2:$M$300,$R25))))),"")</f>
        <v>C</v>
      </c>
      <c r="H25" s="9" t="str">
        <f aca="false">IFERROR(MID(IF(AND(ISNUMBER(INDEX(Species!$J$2:$J$300,$R25)),N(INDEX(Species!$J$2:$J$300,$R25))&gt;1.5),"; LD50 sources differ "&amp;TEXT(INDEX(Species!$J$2:$J$300,$R25),"0.0")&amp;"x","")&amp;IF(AND(INDEX(Species!$H$2:$H$300,$R25)&lt;&gt;"",INDEX(Species!$H$2:$H$300,$R25)&lt;&gt;"SC"),"; LD50 route "&amp;INDEX(Species!$H$2:$H$300,$R25),"")&amp;IF(INDEX(Species!$I$2:$I$300,$R25)="D","; LD50 Tier D","")&amp;IF(AND(ISNUMBER(INDEX(Species!$N$2:$N$300,$R25)),N(INDEX(Species!$N$2:$N$300,$R25))&gt;1.5),"; yield sources differ "&amp;TEXT(INDEX(Species!$N$2:$N$300,$R25),"0.0")&amp;"x","")&amp;IF(INDEX(Species!$M$2:$M$300,$R25)="D","; yield Tier D",""),3,300),"")</f>
        <v/>
      </c>
      <c r="I25" s="5" t="str">
        <f aca="false">IFERROR(INDEX(Species!$S$2:$S$300,$R25)&amp;"","")</f>
        <v/>
      </c>
      <c r="J25" s="5" t="str">
        <f aca="false">IFERROR(INDEX(Species!$T$2:$T$300,$R25)&amp;"","")</f>
        <v/>
      </c>
      <c r="K25" s="10" t="n">
        <f aca="false">IFERROR(MEDIAN(0,100*(LOG10(ld_least)-LOG10(INDEX(Species!$G$2:$G$300,$R25)))/(LOG10(ld_least)-LOG10(ld_most)),100),"")</f>
        <v>57.3385473537053</v>
      </c>
      <c r="L25" s="10" t="n">
        <f aca="false">IFERROR(MEDIAN(0,100*(LOG10(INDEX(Species!$L$2:$L$300,$R25))-LOG10(y_min))/(LOG10(y_max)-LOG10(y_min)),100),"")</f>
        <v>79.06624646693</v>
      </c>
      <c r="M25" s="10" t="n">
        <f aca="false">IFERROR(IF(ISNUMBER(INDEX(Species!$O$2:$O$300,$R25)),ord_floor+(ord_ceil-ord_floor)*(INDEX(Species!$O$2:$O$300,$R25)-1)/9,""),"")</f>
        <v>36.6666666666667</v>
      </c>
      <c r="N25" s="10" t="n">
        <f aca="false">IFERROR(IF(ISNUMBER(INDEX(Species!$P$2:$P$300,$R25)),ord_floor+(ord_ceil-ord_floor)*(INDEX(Species!$P$2:$P$300,$R25)-1)/4,""),"")</f>
        <v>70</v>
      </c>
      <c r="O25" s="10" t="n">
        <f aca="false">IFERROR(IF(ISNUMBER(INDEX(onset_ord,MATCH(INDEX(Species!$Q$2:$Q$300,$R25),onset_labels,0))),ord_floor+(ord_ceil-ord_floor)*(IF(onset_dir="mortality",6-INDEX(onset_ord,MATCH(INDEX(Species!$Q$2:$Q$300,$R25),onset_labels,0)),INDEX(onset_ord,MATCH(INDEX(Species!$Q$2:$Q$300,$R25),onset_labels,0)))-1)/4,""),"")</f>
        <v>30</v>
      </c>
      <c r="P25" s="10" t="n">
        <f aca="false">IFERROR(IF(ISNUMBER(INDEX(access_ord,MATCH(INDEX(Species!$R$2:$R$300,$R25),access_labels,0))),ord_floor+(ord_ceil-ord_floor)*(INDEX(access_ord,MATCH(INDEX(Species!$R$2:$R$300,$R25),access_labels,0))-1)/4,""),"")</f>
        <v>10</v>
      </c>
      <c r="Q25" s="5" t="n">
        <f aca="false">ISNUMBER(M25)*(w_enc&gt;0)+ISNUMBER(N25)*(w_bite&gt;0)+ISNUMBER(O25)*(w_onset&gt;0)+ISNUMBER(P25)*(w_access&gt;0)</f>
        <v>4</v>
      </c>
      <c r="R25" s="11" t="n">
        <f aca="false">IFERROR(MATCH($A25,Species!$A$2:$A$300,0),"")</f>
        <v>21</v>
      </c>
    </row>
    <row r="26" customFormat="false" ht="14.25" hidden="false" customHeight="true" outlineLevel="0" collapsed="false">
      <c r="A26" s="4" t="s">
        <v>42</v>
      </c>
      <c r="B26" s="5" t="str">
        <f aca="false">IFERROR(INDEX(Species!$B$2:$B$300,$R26),"NOT IN SPECIES")</f>
        <v>Indian cobra</v>
      </c>
      <c r="C26" s="6" t="n">
        <f aca="false">IF(w_pot+w_qty&lt;=0,"",IF(AND(OR(w_pot=0,ISNUMBER(K26)),OR(w_qty=0,ISNUMBER(L26))),(w_pot*N(K26)+w_qty*N(L26))/(w_pot*ISNUMBER(K26)+w_qty*ISNUMBER(L26)),IF(ISNUMBER(K26),"needs yield","needs LD50")))</f>
        <v>67.519321104168</v>
      </c>
      <c r="D26" s="7" t="n">
        <f aca="false">IF(ISNUMBER(C26),RANK(C26,$C$2:$C$300),"")</f>
        <v>25</v>
      </c>
      <c r="E26" s="6" t="n">
        <f aca="false">IF(w_enc+w_bite+w_onset+w_access&lt;=0,"",IF(Q26&lt;min_dims,"insufficient data",(w_enc*N(M26)+w_bite*N(N26)+w_onset*N(O26)+w_access*N(P26))/(w_enc*ISNUMBER(M26)+w_bite*ISNUMBER(N26)+w_onset*ISNUMBER(O26)+w_access*ISNUMBER(P26))))</f>
        <v>54.6153846153846</v>
      </c>
      <c r="F26" s="7" t="n">
        <f aca="false">IF(ISNUMBER(E26),RANK(E26,$E$2:$E$300),"")</f>
        <v>18</v>
      </c>
      <c r="G26" s="8" t="str">
        <f aca="false">IFERROR(IF(OR(INDEX(Species!$I$2:$I$300,$R26)="",INDEX(Species!$M$2:$M$300,$R26)=""),"",CHAR(MAX(CODE(INDEX(Species!$I$2:$I$300,$R26)),CODE(INDEX(Species!$M$2:$M$300,$R26))))),"")</f>
        <v>D</v>
      </c>
      <c r="H26" s="9" t="str">
        <f aca="false">IFERROR(MID(IF(AND(ISNUMBER(INDEX(Species!$J$2:$J$300,$R26)),N(INDEX(Species!$J$2:$J$300,$R26))&gt;1.5),"; LD50 sources differ "&amp;TEXT(INDEX(Species!$J$2:$J$300,$R26),"0.0")&amp;"x","")&amp;IF(AND(INDEX(Species!$H$2:$H$300,$R26)&lt;&gt;"",INDEX(Species!$H$2:$H$300,$R26)&lt;&gt;"SC"),"; LD50 route "&amp;INDEX(Species!$H$2:$H$300,$R26),"")&amp;IF(INDEX(Species!$I$2:$I$300,$R26)="D","; LD50 Tier D","")&amp;IF(AND(ISNUMBER(INDEX(Species!$N$2:$N$300,$R26)),N(INDEX(Species!$N$2:$N$300,$R26))&gt;1.5),"; yield sources differ "&amp;TEXT(INDEX(Species!$N$2:$N$300,$R26),"0.0")&amp;"x","")&amp;IF(INDEX(Species!$M$2:$M$300,$R26)="D","; yield Tier D",""),3,300),"")</f>
        <v>LD50 Tier D</v>
      </c>
      <c r="I26" s="5" t="str">
        <f aca="false">IFERROR(INDEX(Species!$S$2:$S$300,$R26)&amp;"","")</f>
        <v/>
      </c>
      <c r="J26" s="5" t="str">
        <f aca="false">IFERROR(INDEX(Species!$T$2:$T$300,$R26)&amp;"","")</f>
        <v/>
      </c>
      <c r="K26" s="10" t="n">
        <f aca="false">IFERROR(MEDIAN(0,100*(LOG10(ld_least)-LOG10(INDEX(Species!$G$2:$G$300,$R26)))/(LOG10(ld_least)-LOG10(ld_most)),100),"")</f>
        <v>55.1895570925164</v>
      </c>
      <c r="L26" s="10" t="n">
        <f aca="false">IFERROR(MEDIAN(0,100*(LOG10(INDEX(Species!$L$2:$L$300,$R26))-LOG10(y_min))/(LOG10(y_max)-LOG10(y_min)),100),"")</f>
        <v>79.8490851158196</v>
      </c>
      <c r="M26" s="10" t="n">
        <f aca="false">IFERROR(IF(ISNUMBER(INDEX(Species!$O$2:$O$300,$R26)),ord_floor+(ord_ceil-ord_floor)*(INDEX(Species!$O$2:$O$300,$R26)-1)/9,""),"")</f>
        <v>90</v>
      </c>
      <c r="N26" s="10" t="n">
        <f aca="false">IFERROR(IF(ISNUMBER(INDEX(Species!$P$2:$P$300,$R26)),ord_floor+(ord_ceil-ord_floor)*(INDEX(Species!$P$2:$P$300,$R26)-1)/4,""),"")</f>
        <v>50</v>
      </c>
      <c r="O26" s="10" t="n">
        <f aca="false">IFERROR(IF(ISNUMBER(INDEX(onset_ord,MATCH(INDEX(Species!$Q$2:$Q$300,$R26),onset_labels,0))),ord_floor+(ord_ceil-ord_floor)*(IF(onset_dir="mortality",6-INDEX(onset_ord,MATCH(INDEX(Species!$Q$2:$Q$300,$R26),onset_labels,0)),INDEX(onset_ord,MATCH(INDEX(Species!$Q$2:$Q$300,$R26),onset_labels,0)))-1)/4,""),"")</f>
        <v>30</v>
      </c>
      <c r="P26" s="10" t="n">
        <f aca="false">IFERROR(IF(ISNUMBER(INDEX(access_ord,MATCH(INDEX(Species!$R$2:$R$300,$R26),access_labels,0))),ord_floor+(ord_ceil-ord_floor)*(INDEX(access_ord,MATCH(INDEX(Species!$R$2:$R$300,$R26),access_labels,0))-1)/4,""),"")</f>
        <v>10</v>
      </c>
      <c r="Q26" s="5" t="n">
        <f aca="false">ISNUMBER(M26)*(w_enc&gt;0)+ISNUMBER(N26)*(w_bite&gt;0)+ISNUMBER(O26)*(w_onset&gt;0)+ISNUMBER(P26)*(w_access&gt;0)</f>
        <v>4</v>
      </c>
      <c r="R26" s="11" t="n">
        <f aca="false">IFERROR(MATCH($A26,Species!$A$2:$A$300,0),"")</f>
        <v>18</v>
      </c>
    </row>
    <row r="27" customFormat="false" ht="14.25" hidden="false" customHeight="true" outlineLevel="0" collapsed="false">
      <c r="A27" s="4" t="s">
        <v>43</v>
      </c>
      <c r="B27" s="5" t="str">
        <f aca="false">IFERROR(INDEX(Species!$B$2:$B$300,$R27),"NOT IN SPECIES")</f>
        <v>Eastern diamondback rattlesnake</v>
      </c>
      <c r="C27" s="6" t="n">
        <f aca="false">IF(w_pot+w_qty&lt;=0,"",IF(AND(OR(w_pot=0,ISNUMBER(K27)),OR(w_qty=0,ISNUMBER(L27))),(w_pot*N(K27)+w_qty*N(L27))/(w_pot*ISNUMBER(K27)+w_qty*ISNUMBER(L27)),IF(ISNUMBER(K27),"needs yield","needs LD50")))</f>
        <v>66.8834782783296</v>
      </c>
      <c r="D27" s="7" t="n">
        <f aca="false">IF(ISNUMBER(C27),RANK(C27,$C$2:$C$300),"")</f>
        <v>26</v>
      </c>
      <c r="E27" s="6" t="n">
        <f aca="false">IF(w_enc+w_bite+w_onset+w_access&lt;=0,"",IF(Q27&lt;min_dims,"insufficient data",(w_enc*N(M27)+w_bite*N(N27)+w_onset*N(O27)+w_access*N(P27))/(w_enc*ISNUMBER(M27)+w_bite*ISNUMBER(N27)+w_onset*ISNUMBER(O27)+w_access*ISNUMBER(P27))))</f>
        <v>47.948717948718</v>
      </c>
      <c r="F27" s="7" t="n">
        <f aca="false">IF(ISNUMBER(E27),RANK(E27,$E$2:$E$300),"")</f>
        <v>29</v>
      </c>
      <c r="G27" s="8" t="str">
        <f aca="false">IFERROR(IF(OR(INDEX(Species!$I$2:$I$300,$R27)="",INDEX(Species!$M$2:$M$300,$R27)=""),"",CHAR(MAX(CODE(INDEX(Species!$I$2:$I$300,$R27)),CODE(INDEX(Species!$M$2:$M$300,$R27))))),"")</f>
        <v>D</v>
      </c>
      <c r="H27" s="9" t="str">
        <f aca="false">IFERROR(MID(IF(AND(ISNUMBER(INDEX(Species!$J$2:$J$300,$R27)),N(INDEX(Species!$J$2:$J$300,$R27))&gt;1.5),"; LD50 sources differ "&amp;TEXT(INDEX(Species!$J$2:$J$300,$R27),"0.0")&amp;"x","")&amp;IF(AND(INDEX(Species!$H$2:$H$300,$R27)&lt;&gt;"",INDEX(Species!$H$2:$H$300,$R27)&lt;&gt;"SC"),"; LD50 route "&amp;INDEX(Species!$H$2:$H$300,$R27),"")&amp;IF(INDEX(Species!$I$2:$I$300,$R27)="D","; LD50 Tier D","")&amp;IF(AND(ISNUMBER(INDEX(Species!$N$2:$N$300,$R27)),N(INDEX(Species!$N$2:$N$300,$R27))&gt;1.5),"; yield sources differ "&amp;TEXT(INDEX(Species!$N$2:$N$300,$R27),"0.0")&amp;"x","")&amp;IF(INDEX(Species!$M$2:$M$300,$R27)="D","; yield Tier D",""),3,300),"")</f>
        <v>LD50 sources differ 9.5x; LD50 Tier D</v>
      </c>
      <c r="I27" s="5" t="str">
        <f aca="false">IFERROR(INDEX(Species!$S$2:$S$300,$R27)&amp;"","")</f>
        <v>&lt;1 (USA) *</v>
      </c>
      <c r="J27" s="5" t="str">
        <f aca="false">IFERROR(INDEX(Species!$T$2:$T$300,$R27)&amp;"","")</f>
        <v/>
      </c>
      <c r="K27" s="10" t="n">
        <f aca="false">IFERROR(MEDIAN(0,100*(LOG10(ld_least)-LOG10(INDEX(Species!$G$2:$G$300,$R27)))/(LOG10(ld_least)-LOG10(ld_most)),100),"")</f>
        <v>37.2940044701459</v>
      </c>
      <c r="L27" s="10" t="n">
        <f aca="false">IFERROR(MEDIAN(0,100*(LOG10(INDEX(Species!$L$2:$L$300,$R27))-LOG10(y_min))/(LOG10(y_max)-LOG10(y_min)),100),"")</f>
        <v>96.4729520865133</v>
      </c>
      <c r="M27" s="10" t="n">
        <f aca="false">IFERROR(IF(ISNUMBER(INDEX(Species!$O$2:$O$300,$R27)),ord_floor+(ord_ceil-ord_floor)*(INDEX(Species!$O$2:$O$300,$R27)-1)/9,""),"")</f>
        <v>36.6666666666667</v>
      </c>
      <c r="N27" s="10" t="n">
        <f aca="false">IFERROR(IF(ISNUMBER(INDEX(Species!$P$2:$P$300,$R27)),ord_floor+(ord_ceil-ord_floor)*(INDEX(Species!$P$2:$P$300,$R27)-1)/4,""),"")</f>
        <v>50</v>
      </c>
      <c r="O27" s="10" t="n">
        <f aca="false">IFERROR(IF(ISNUMBER(INDEX(onset_ord,MATCH(INDEX(Species!$Q$2:$Q$300,$R27),onset_labels,0))),ord_floor+(ord_ceil-ord_floor)*(IF(onset_dir="mortality",6-INDEX(onset_ord,MATCH(INDEX(Species!$Q$2:$Q$300,$R27),onset_labels,0)),INDEX(onset_ord,MATCH(INDEX(Species!$Q$2:$Q$300,$R27),onset_labels,0)))-1)/4,""),"")</f>
        <v>90</v>
      </c>
      <c r="P27" s="10" t="n">
        <f aca="false">IFERROR(IF(ISNUMBER(INDEX(access_ord,MATCH(INDEX(Species!$R$2:$R$300,$R27),access_labels,0))),ord_floor+(ord_ceil-ord_floor)*(INDEX(access_ord,MATCH(INDEX(Species!$R$2:$R$300,$R27),access_labels,0))-1)/4,""),"")</f>
        <v>10</v>
      </c>
      <c r="Q27" s="5" t="n">
        <f aca="false">ISNUMBER(M27)*(w_enc&gt;0)+ISNUMBER(N27)*(w_bite&gt;0)+ISNUMBER(O27)*(w_onset&gt;0)+ISNUMBER(P27)*(w_access&gt;0)</f>
        <v>4</v>
      </c>
      <c r="R27" s="11" t="n">
        <f aca="false">IFERROR(MATCH($A27,Species!$A$2:$A$300,0),"")</f>
        <v>14</v>
      </c>
    </row>
    <row r="28" customFormat="false" ht="14.25" hidden="false" customHeight="true" outlineLevel="0" collapsed="false">
      <c r="A28" s="4" t="s">
        <v>44</v>
      </c>
      <c r="B28" s="5" t="str">
        <f aca="false">IFERROR(INDEX(Species!$B$2:$B$300,$R28),"NOT IN SPECIES")</f>
        <v>King cobra</v>
      </c>
      <c r="C28" s="6" t="n">
        <f aca="false">IF(w_pot+w_qty&lt;=0,"",IF(AND(OR(w_pot=0,ISNUMBER(K28)),OR(w_qty=0,ISNUMBER(L28))),(w_pot*N(K28)+w_qty*N(L28))/(w_pot*ISNUMBER(K28)+w_qty*ISNUMBER(L28)),IF(ISNUMBER(K28),"needs yield","needs LD50")))</f>
        <v>65.90385625051</v>
      </c>
      <c r="D28" s="7" t="n">
        <f aca="false">IF(ISNUMBER(C28),RANK(C28,$C$2:$C$300),"")</f>
        <v>28</v>
      </c>
      <c r="E28" s="6" t="n">
        <f aca="false">IF(w_enc+w_bite+w_onset+w_access&lt;=0,"",IF(Q28&lt;min_dims,"insufficient data",(w_enc*N(M28)+w_bite*N(N28)+w_onset*N(O28)+w_access*N(P28))/(w_enc*ISNUMBER(M28)+w_bite*ISNUMBER(N28)+w_onset*ISNUMBER(O28)+w_access*ISNUMBER(P28))))</f>
        <v>29.1452991452991</v>
      </c>
      <c r="F28" s="7" t="n">
        <f aca="false">IF(ISNUMBER(E28),RANK(E28,$E$2:$E$300),"")</f>
        <v>82</v>
      </c>
      <c r="G28" s="8" t="str">
        <f aca="false">IFERROR(IF(OR(INDEX(Species!$I$2:$I$300,$R28)="",INDEX(Species!$M$2:$M$300,$R28)=""),"",CHAR(MAX(CODE(INDEX(Species!$I$2:$I$300,$R28)),CODE(INDEX(Species!$M$2:$M$300,$R28))))),"")</f>
        <v>D</v>
      </c>
      <c r="H28" s="9" t="str">
        <f aca="false">IFERROR(MID(IF(AND(ISNUMBER(INDEX(Species!$J$2:$J$300,$R28)),N(INDEX(Species!$J$2:$J$300,$R28))&gt;1.5),"; LD50 sources differ "&amp;TEXT(INDEX(Species!$J$2:$J$300,$R28),"0.0")&amp;"x","")&amp;IF(AND(INDEX(Species!$H$2:$H$300,$R28)&lt;&gt;"",INDEX(Species!$H$2:$H$300,$R28)&lt;&gt;"SC"),"; LD50 route "&amp;INDEX(Species!$H$2:$H$300,$R28),"")&amp;IF(INDEX(Species!$I$2:$I$300,$R28)="D","; LD50 Tier D","")&amp;IF(AND(ISNUMBER(INDEX(Species!$N$2:$N$300,$R28)),N(INDEX(Species!$N$2:$N$300,$R28))&gt;1.5),"; yield sources differ "&amp;TEXT(INDEX(Species!$N$2:$N$300,$R28),"0.0")&amp;"x","")&amp;IF(INDEX(Species!$M$2:$M$300,$R28)="D","; yield Tier D",""),3,300),"")</f>
        <v>LD50 sources differ 2.0x; LD50 Tier D</v>
      </c>
      <c r="I28" s="5" t="str">
        <f aca="false">IFERROR(INDEX(Species!$S$2:$S$300,$R28)&amp;"","")</f>
        <v/>
      </c>
      <c r="J28" s="5" t="str">
        <f aca="false">IFERROR(INDEX(Species!$T$2:$T$300,$R28)&amp;"","")</f>
        <v/>
      </c>
      <c r="K28" s="10" t="n">
        <f aca="false">IFERROR(MEDIAN(0,100*(LOG10(ld_least)-LOG10(INDEX(Species!$G$2:$G$300,$R28)))/(LOG10(ld_least)-LOG10(ld_most)),100),"")</f>
        <v>42.5428585905398</v>
      </c>
      <c r="L28" s="10" t="n">
        <f aca="false">IFERROR(MEDIAN(0,100*(LOG10(INDEX(Species!$L$2:$L$300,$R28))-LOG10(y_min))/(LOG10(y_max)-LOG10(y_min)),100),"")</f>
        <v>89.2648539104803</v>
      </c>
      <c r="M28" s="10" t="n">
        <f aca="false">IFERROR(IF(ISNUMBER(INDEX(Species!$O$2:$O$300,$R28)),ord_floor+(ord_ceil-ord_floor)*(INDEX(Species!$O$2:$O$300,$R28)-1)/9,""),"")</f>
        <v>27.7777777777778</v>
      </c>
      <c r="N28" s="10" t="n">
        <f aca="false">IFERROR(IF(ISNUMBER(INDEX(Species!$P$2:$P$300,$R28)),ord_floor+(ord_ceil-ord_floor)*(INDEX(Species!$P$2:$P$300,$R28)-1)/4,""),"")</f>
        <v>30</v>
      </c>
      <c r="O28" s="10" t="n">
        <f aca="false">IFERROR(IF(ISNUMBER(INDEX(onset_ord,MATCH(INDEX(Species!$Q$2:$Q$300,$R28),onset_labels,0))),ord_floor+(ord_ceil-ord_floor)*(IF(onset_dir="mortality",6-INDEX(onset_ord,MATCH(INDEX(Species!$Q$2:$Q$300,$R28),onset_labels,0)),INDEX(onset_ord,MATCH(INDEX(Species!$Q$2:$Q$300,$R28),onset_labels,0)))-1)/4,""),"")</f>
        <v>30</v>
      </c>
      <c r="P28" s="10" t="n">
        <f aca="false">IFERROR(IF(ISNUMBER(INDEX(access_ord,MATCH(INDEX(Species!$R$2:$R$300,$R28),access_labels,0))),ord_floor+(ord_ceil-ord_floor)*(INDEX(access_ord,MATCH(INDEX(Species!$R$2:$R$300,$R28),access_labels,0))-1)/4,""),"")</f>
        <v>30</v>
      </c>
      <c r="Q28" s="5" t="n">
        <f aca="false">ISNUMBER(M28)*(w_enc&gt;0)+ISNUMBER(N28)*(w_bite&gt;0)+ISNUMBER(O28)*(w_onset&gt;0)+ISNUMBER(P28)*(w_access&gt;0)</f>
        <v>4</v>
      </c>
      <c r="R28" s="11" t="n">
        <f aca="false">IFERROR(MATCH($A28,Species!$A$2:$A$300,0),"")</f>
        <v>17</v>
      </c>
    </row>
    <row r="29" customFormat="false" ht="14.25" hidden="false" customHeight="true" outlineLevel="0" collapsed="false">
      <c r="A29" s="4" t="s">
        <v>45</v>
      </c>
      <c r="B29" s="5" t="str">
        <f aca="false">IFERROR(INDEX(Species!$B$2:$B$300,$R29),"NOT IN SPECIES")</f>
        <v>Eastern green mamba</v>
      </c>
      <c r="C29" s="6" t="n">
        <f aca="false">IF(w_pot+w_qty&lt;=0,"",IF(AND(OR(w_pot=0,ISNUMBER(K29)),OR(w_qty=0,ISNUMBER(L29))),(w_pot*N(K29)+w_qty*N(L29))/(w_pot*ISNUMBER(K29)+w_qty*ISNUMBER(L29)),IF(ISNUMBER(K29),"needs yield","needs LD50")))</f>
        <v>65.9518334612736</v>
      </c>
      <c r="D29" s="7" t="n">
        <f aca="false">IF(ISNUMBER(C29),RANK(C29,$C$2:$C$300),"")</f>
        <v>27</v>
      </c>
      <c r="E29" s="6" t="n">
        <f aca="false">IF(w_enc+w_bite+w_onset+w_access&lt;=0,"",IF(Q29&lt;min_dims,"insufficient data",(w_enc*N(M29)+w_bite*N(N29)+w_onset*N(O29)+w_access*N(P29))/(w_enc*ISNUMBER(M29)+w_bite*ISNUMBER(N29)+w_onset*ISNUMBER(O29)+w_access*ISNUMBER(P29))))</f>
        <v>37.1794871794872</v>
      </c>
      <c r="F29" s="7" t="n">
        <f aca="false">IF(ISNUMBER(E29),RANK(E29,$E$2:$E$300),"")</f>
        <v>68</v>
      </c>
      <c r="G29" s="8" t="str">
        <f aca="false">IFERROR(IF(OR(INDEX(Species!$I$2:$I$300,$R29)="",INDEX(Species!$M$2:$M$300,$R29)=""),"",CHAR(MAX(CODE(INDEX(Species!$I$2:$I$300,$R29)),CODE(INDEX(Species!$M$2:$M$300,$R29))))),"")</f>
        <v>C</v>
      </c>
      <c r="H29" s="9" t="str">
        <f aca="false">IFERROR(MID(IF(AND(ISNUMBER(INDEX(Species!$J$2:$J$300,$R29)),N(INDEX(Species!$J$2:$J$300,$R29))&gt;1.5),"; LD50 sources differ "&amp;TEXT(INDEX(Species!$J$2:$J$300,$R29),"0.0")&amp;"x","")&amp;IF(AND(INDEX(Species!$H$2:$H$300,$R29)&lt;&gt;"",INDEX(Species!$H$2:$H$300,$R29)&lt;&gt;"SC"),"; LD50 route "&amp;INDEX(Species!$H$2:$H$300,$R29),"")&amp;IF(INDEX(Species!$I$2:$I$300,$R29)="D","; LD50 Tier D","")&amp;IF(AND(ISNUMBER(INDEX(Species!$N$2:$N$300,$R29)),N(INDEX(Species!$N$2:$N$300,$R29))&gt;1.5),"; yield sources differ "&amp;TEXT(INDEX(Species!$N$2:$N$300,$R29),"0.0")&amp;"x","")&amp;IF(INDEX(Species!$M$2:$M$300,$R29)="D","; yield Tier D",""),3,300),"")</f>
        <v/>
      </c>
      <c r="I29" s="5" t="str">
        <f aca="false">IFERROR(INDEX(Species!$S$2:$S$300,$R29)&amp;"","")</f>
        <v/>
      </c>
      <c r="J29" s="5" t="str">
        <f aca="false">IFERROR(INDEX(Species!$T$2:$T$300,$R29)&amp;"","")</f>
        <v/>
      </c>
      <c r="K29" s="10" t="n">
        <f aca="false">IFERROR(MEDIAN(0,100*(LOG10(ld_least)-LOG10(INDEX(Species!$G$2:$G$300,$R29)))/(LOG10(ld_least)-LOG10(ld_most)),100),"")</f>
        <v>65.1983234768982</v>
      </c>
      <c r="L29" s="10" t="n">
        <f aca="false">IFERROR(MEDIAN(0,100*(LOG10(INDEX(Species!$L$2:$L$300,$R29))-LOG10(y_min))/(LOG10(y_max)-LOG10(y_min)),100),"")</f>
        <v>66.7053434456489</v>
      </c>
      <c r="M29" s="10" t="n">
        <f aca="false">IFERROR(IF(ISNUMBER(INDEX(Species!$O$2:$O$300,$R29)),ord_floor+(ord_ceil-ord_floor)*(INDEX(Species!$O$2:$O$300,$R29)-1)/9,""),"")</f>
        <v>36.6666666666667</v>
      </c>
      <c r="N29" s="10" t="n">
        <f aca="false">IFERROR(IF(ISNUMBER(INDEX(Species!$P$2:$P$300,$R29)),ord_floor+(ord_ceil-ord_floor)*(INDEX(Species!$P$2:$P$300,$R29)-1)/4,""),"")</f>
        <v>50</v>
      </c>
      <c r="O29" s="10" t="n">
        <f aca="false">IFERROR(IF(ISNUMBER(INDEX(onset_ord,MATCH(INDEX(Species!$Q$2:$Q$300,$R29),onset_labels,0))),ord_floor+(ord_ceil-ord_floor)*(IF(onset_dir="mortality",6-INDEX(onset_ord,MATCH(INDEX(Species!$Q$2:$Q$300,$R29),onset_labels,0)),INDEX(onset_ord,MATCH(INDEX(Species!$Q$2:$Q$300,$R29),onset_labels,0)))-1)/4,""),"")</f>
        <v>30</v>
      </c>
      <c r="P29" s="10" t="n">
        <f aca="false">IFERROR(IF(ISNUMBER(INDEX(access_ord,MATCH(INDEX(Species!$R$2:$R$300,$R29),access_labels,0))),ord_floor+(ord_ceil-ord_floor)*(INDEX(access_ord,MATCH(INDEX(Species!$R$2:$R$300,$R29),access_labels,0))-1)/4,""),"")</f>
        <v>30</v>
      </c>
      <c r="Q29" s="5" t="n">
        <f aca="false">ISNUMBER(M29)*(w_enc&gt;0)+ISNUMBER(N29)*(w_bite&gt;0)+ISNUMBER(O29)*(w_onset&gt;0)+ISNUMBER(P29)*(w_access&gt;0)</f>
        <v>4</v>
      </c>
      <c r="R29" s="11" t="n">
        <f aca="false">IFERROR(MATCH($A29,Species!$A$2:$A$300,0),"")</f>
        <v>53</v>
      </c>
    </row>
    <row r="30" customFormat="false" ht="14.25" hidden="false" customHeight="true" outlineLevel="0" collapsed="false">
      <c r="A30" s="4" t="s">
        <v>46</v>
      </c>
      <c r="B30" s="5" t="str">
        <f aca="false">IFERROR(INDEX(Species!$B$2:$B$300,$R30),"NOT IN SPECIES")</f>
        <v>Chinese cobra</v>
      </c>
      <c r="C30" s="6" t="n">
        <f aca="false">IF(w_pot+w_qty&lt;=0,"",IF(AND(OR(w_pot=0,ISNUMBER(K30)),OR(w_qty=0,ISNUMBER(L30))),(w_pot*N(K30)+w_qty*N(L30))/(w_pot*ISNUMBER(K30)+w_qty*ISNUMBER(L30)),IF(ISNUMBER(K30),"needs yield","needs LD50")))</f>
        <v>64.8948940439711</v>
      </c>
      <c r="D30" s="7" t="n">
        <f aca="false">IF(ISNUMBER(C30),RANK(C30,$C$2:$C$300),"")</f>
        <v>30</v>
      </c>
      <c r="E30" s="6" t="n">
        <f aca="false">IF(w_enc+w_bite+w_onset+w_access&lt;=0,"",IF(Q30&lt;min_dims,"insufficient data",(w_enc*N(M30)+w_bite*N(N30)+w_onset*N(O30)+w_access*N(P30))/(w_enc*ISNUMBER(M30)+w_bite*ISNUMBER(N30)+w_onset*ISNUMBER(O30)+w_access*ISNUMBER(P30))))</f>
        <v>47.4358974358974</v>
      </c>
      <c r="F30" s="7" t="n">
        <f aca="false">IF(ISNUMBER(E30),RANK(E30,$E$2:$E$300),"")</f>
        <v>32</v>
      </c>
      <c r="G30" s="8" t="str">
        <f aca="false">IFERROR(IF(OR(INDEX(Species!$I$2:$I$300,$R30)="",INDEX(Species!$M$2:$M$300,$R30)=""),"",CHAR(MAX(CODE(INDEX(Species!$I$2:$I$300,$R30)),CODE(INDEX(Species!$M$2:$M$300,$R30))))),"")</f>
        <v>C</v>
      </c>
      <c r="H30" s="9" t="str">
        <f aca="false">IFERROR(MID(IF(AND(ISNUMBER(INDEX(Species!$J$2:$J$300,$R30)),N(INDEX(Species!$J$2:$J$300,$R30))&gt;1.5),"; LD50 sources differ "&amp;TEXT(INDEX(Species!$J$2:$J$300,$R30),"0.0")&amp;"x","")&amp;IF(AND(INDEX(Species!$H$2:$H$300,$R30)&lt;&gt;"",INDEX(Species!$H$2:$H$300,$R30)&lt;&gt;"SC"),"; LD50 route "&amp;INDEX(Species!$H$2:$H$300,$R30),"")&amp;IF(INDEX(Species!$I$2:$I$300,$R30)="D","; LD50 Tier D","")&amp;IF(AND(ISNUMBER(INDEX(Species!$N$2:$N$300,$R30)),N(INDEX(Species!$N$2:$N$300,$R30))&gt;1.5),"; yield sources differ "&amp;TEXT(INDEX(Species!$N$2:$N$300,$R30),"0.0")&amp;"x","")&amp;IF(INDEX(Species!$M$2:$M$300,$R30)="D","; yield Tier D",""),3,300),"")</f>
        <v/>
      </c>
      <c r="I30" s="5" t="str">
        <f aca="false">IFERROR(INDEX(Species!$S$2:$S$300,$R30)&amp;"","")</f>
        <v/>
      </c>
      <c r="J30" s="5" t="str">
        <f aca="false">IFERROR(INDEX(Species!$T$2:$T$300,$R30)&amp;"","")</f>
        <v>14.7% (Taiwan, 1904-1938) [treatment unclear] *</v>
      </c>
      <c r="K30" s="10" t="n">
        <f aca="false">IFERROR(MEDIAN(0,100*(LOG10(ld_least)-LOG10(INDEX(Species!$G$2:$G$300,$R30)))/(LOG10(ld_least)-LOG10(ld_most)),100),"")</f>
        <v>49.9407029721225</v>
      </c>
      <c r="L30" s="10" t="n">
        <f aca="false">IFERROR(MEDIAN(0,100*(LOG10(INDEX(Species!$L$2:$L$300,$R30))-LOG10(y_min))/(LOG10(y_max)-LOG10(y_min)),100),"")</f>
        <v>79.8490851158196</v>
      </c>
      <c r="M30" s="10" t="n">
        <f aca="false">IFERROR(IF(ISNUMBER(INDEX(Species!$O$2:$O$300,$R30)),ord_floor+(ord_ceil-ord_floor)*(INDEX(Species!$O$2:$O$300,$R30)-1)/9,""),"")</f>
        <v>63.3333333333333</v>
      </c>
      <c r="N30" s="10" t="n">
        <f aca="false">IFERROR(IF(ISNUMBER(INDEX(Species!$P$2:$P$300,$R30)),ord_floor+(ord_ceil-ord_floor)*(INDEX(Species!$P$2:$P$300,$R30)-1)/4,""),"")</f>
        <v>50</v>
      </c>
      <c r="O30" s="10" t="n">
        <f aca="false">IFERROR(IF(ISNUMBER(INDEX(onset_ord,MATCH(INDEX(Species!$Q$2:$Q$300,$R30),onset_labels,0))),ord_floor+(ord_ceil-ord_floor)*(IF(onset_dir="mortality",6-INDEX(onset_ord,MATCH(INDEX(Species!$Q$2:$Q$300,$R30),onset_labels,0)),INDEX(onset_ord,MATCH(INDEX(Species!$Q$2:$Q$300,$R30),onset_labels,0)))-1)/4,""),"")</f>
        <v>30</v>
      </c>
      <c r="P30" s="10" t="n">
        <f aca="false">IFERROR(IF(ISNUMBER(INDEX(access_ord,MATCH(INDEX(Species!$R$2:$R$300,$R30),access_labels,0))),ord_floor+(ord_ceil-ord_floor)*(INDEX(access_ord,MATCH(INDEX(Species!$R$2:$R$300,$R30),access_labels,0))-1)/4,""),"")</f>
        <v>30</v>
      </c>
      <c r="Q30" s="5" t="n">
        <f aca="false">ISNUMBER(M30)*(w_enc&gt;0)+ISNUMBER(N30)*(w_bite&gt;0)+ISNUMBER(O30)*(w_onset&gt;0)+ISNUMBER(P30)*(w_access&gt;0)</f>
        <v>4</v>
      </c>
      <c r="R30" s="11" t="n">
        <f aca="false">IFERROR(MATCH($A30,Species!$A$2:$A$300,0),"")</f>
        <v>74</v>
      </c>
    </row>
    <row r="31" customFormat="false" ht="14.25" hidden="false" customHeight="true" outlineLevel="0" collapsed="false">
      <c r="A31" s="4" t="s">
        <v>47</v>
      </c>
      <c r="B31" s="5" t="str">
        <f aca="false">IFERROR(INDEX(Species!$B$2:$B$300,$R31),"NOT IN SPECIES")</f>
        <v>Common Indian krait</v>
      </c>
      <c r="C31" s="6" t="n">
        <f aca="false">IF(w_pot+w_qty&lt;=0,"",IF(AND(OR(w_pot=0,ISNUMBER(K31)),OR(w_qty=0,ISNUMBER(L31))),(w_pot*N(K31)+w_qty*N(L31))/(w_pot*ISNUMBER(K31)+w_qty*ISNUMBER(L31)),IF(ISNUMBER(K31),"needs yield","needs LD50")))</f>
        <v>65.0468296818668</v>
      </c>
      <c r="D31" s="7" t="n">
        <f aca="false">IF(ISNUMBER(C31),RANK(C31,$C$2:$C$300),"")</f>
        <v>29</v>
      </c>
      <c r="E31" s="6" t="n">
        <f aca="false">IF(w_enc+w_bite+w_onset+w_access&lt;=0,"",IF(Q31&lt;min_dims,"insufficient data",(w_enc*N(M31)+w_bite*N(N31)+w_onset*N(O31)+w_access*N(P31))/(w_enc*ISNUMBER(M31)+w_bite*ISNUMBER(N31)+w_onset*ISNUMBER(O31)+w_access*ISNUMBER(P31))))</f>
        <v>54.6153846153846</v>
      </c>
      <c r="F31" s="7" t="n">
        <f aca="false">IF(ISNUMBER(E31),RANK(E31,$E$2:$E$300),"")</f>
        <v>18</v>
      </c>
      <c r="G31" s="8" t="str">
        <f aca="false">IFERROR(IF(OR(INDEX(Species!$I$2:$I$300,$R31)="",INDEX(Species!$M$2:$M$300,$R31)=""),"",CHAR(MAX(CODE(INDEX(Species!$I$2:$I$300,$R31)),CODE(INDEX(Species!$M$2:$M$300,$R31))))),"")</f>
        <v>C</v>
      </c>
      <c r="H31" s="9" t="str">
        <f aca="false">IFERROR(MID(IF(AND(ISNUMBER(INDEX(Species!$J$2:$J$300,$R31)),N(INDEX(Species!$J$2:$J$300,$R31))&gt;1.5),"; LD50 sources differ "&amp;TEXT(INDEX(Species!$J$2:$J$300,$R31),"0.0")&amp;"x","")&amp;IF(AND(INDEX(Species!$H$2:$H$300,$R31)&lt;&gt;"",INDEX(Species!$H$2:$H$300,$R31)&lt;&gt;"SC"),"; LD50 route "&amp;INDEX(Species!$H$2:$H$300,$R31),"")&amp;IF(INDEX(Species!$I$2:$I$300,$R31)="D","; LD50 Tier D","")&amp;IF(AND(ISNUMBER(INDEX(Species!$N$2:$N$300,$R31)),N(INDEX(Species!$N$2:$N$300,$R31))&gt;1.5),"; yield sources differ "&amp;TEXT(INDEX(Species!$N$2:$N$300,$R31),"0.0")&amp;"x","")&amp;IF(INDEX(Species!$M$2:$M$300,$R31)="D","; yield Tier D",""),3,300),"")</f>
        <v/>
      </c>
      <c r="I31" s="5" t="str">
        <f aca="false">IFERROR(INDEX(Species!$S$2:$S$300,$R31)&amp;"","")</f>
        <v/>
      </c>
      <c r="J31" s="5" t="str">
        <f aca="false">IFERROR(INDEX(Species!$T$2:$T$300,$R31)&amp;"","")</f>
        <v/>
      </c>
      <c r="K31" s="10" t="n">
        <f aca="false">IFERROR(MEDIAN(0,100*(LOG10(ld_least)-LOG10(INDEX(Species!$G$2:$G$300,$R31)))/(LOG10(ld_least)-LOG10(ld_most)),100),"")</f>
        <v>84.5542816518259</v>
      </c>
      <c r="L31" s="10" t="n">
        <f aca="false">IFERROR(MEDIAN(0,100*(LOG10(INDEX(Species!$L$2:$L$300,$R31))-LOG10(y_min))/(LOG10(y_max)-LOG10(y_min)),100),"")</f>
        <v>45.5393777119076</v>
      </c>
      <c r="M31" s="10" t="n">
        <f aca="false">IFERROR(IF(ISNUMBER(INDEX(Species!$O$2:$O$300,$R31)),ord_floor+(ord_ceil-ord_floor)*(INDEX(Species!$O$2:$O$300,$R31)-1)/9,""),"")</f>
        <v>90</v>
      </c>
      <c r="N31" s="10" t="n">
        <f aca="false">IFERROR(IF(ISNUMBER(INDEX(Species!$P$2:$P$300,$R31)),ord_floor+(ord_ceil-ord_floor)*(INDEX(Species!$P$2:$P$300,$R31)-1)/4,""),"")</f>
        <v>50</v>
      </c>
      <c r="O31" s="10" t="n">
        <f aca="false">IFERROR(IF(ISNUMBER(INDEX(onset_ord,MATCH(INDEX(Species!$Q$2:$Q$300,$R31),onset_labels,0))),ord_floor+(ord_ceil-ord_floor)*(IF(onset_dir="mortality",6-INDEX(onset_ord,MATCH(INDEX(Species!$Q$2:$Q$300,$R31),onset_labels,0)),INDEX(onset_ord,MATCH(INDEX(Species!$Q$2:$Q$300,$R31),onset_labels,0)))-1)/4,""),"")</f>
        <v>30</v>
      </c>
      <c r="P31" s="10" t="n">
        <f aca="false">IFERROR(IF(ISNUMBER(INDEX(access_ord,MATCH(INDEX(Species!$R$2:$R$300,$R31),access_labels,0))),ord_floor+(ord_ceil-ord_floor)*(INDEX(access_ord,MATCH(INDEX(Species!$R$2:$R$300,$R31),access_labels,0))-1)/4,""),"")</f>
        <v>10</v>
      </c>
      <c r="Q31" s="5" t="n">
        <f aca="false">ISNUMBER(M31)*(w_enc&gt;0)+ISNUMBER(N31)*(w_bite&gt;0)+ISNUMBER(O31)*(w_onset&gt;0)+ISNUMBER(P31)*(w_access&gt;0)</f>
        <v>4</v>
      </c>
      <c r="R31" s="11" t="n">
        <f aca="false">IFERROR(MATCH($A31,Species!$A$2:$A$300,0),"")</f>
        <v>27</v>
      </c>
    </row>
    <row r="32" customFormat="false" ht="14.25" hidden="false" customHeight="true" outlineLevel="0" collapsed="false">
      <c r="A32" s="4" t="s">
        <v>48</v>
      </c>
      <c r="B32" s="5" t="str">
        <f aca="false">IFERROR(INDEX(Species!$B$2:$B$300,$R32),"NOT IN SPECIES")</f>
        <v>Tiger rattlesnake</v>
      </c>
      <c r="C32" s="6" t="n">
        <f aca="false">IF(w_pot+w_qty&lt;=0,"",IF(AND(OR(w_pot=0,ISNUMBER(K32)),OR(w_qty=0,ISNUMBER(L32))),(w_pot*N(K32)+w_qty*N(L32))/(w_pot*ISNUMBER(K32)+w_qty*ISNUMBER(L32)),IF(ISNUMBER(K32),"needs yield","needs LD50")))</f>
        <v>64.685218169368</v>
      </c>
      <c r="D32" s="7" t="n">
        <f aca="false">IF(ISNUMBER(C32),RANK(C32,$C$2:$C$300),"")</f>
        <v>31</v>
      </c>
      <c r="E32" s="6" t="n">
        <f aca="false">IF(w_enc+w_bite+w_onset+w_access&lt;=0,"",IF(Q32&lt;min_dims,"insufficient data",(w_enc*N(M32)+w_bite*N(N32)+w_onset*N(O32)+w_access*N(P32))/(w_enc*ISNUMBER(M32)+w_bite*ISNUMBER(N32)+w_onset*ISNUMBER(O32)+w_access*ISNUMBER(P32))))</f>
        <v>22.6495726495726</v>
      </c>
      <c r="F32" s="7" t="n">
        <f aca="false">IF(ISNUMBER(E32),RANK(E32,$E$2:$E$300),"")</f>
        <v>90</v>
      </c>
      <c r="G32" s="8" t="str">
        <f aca="false">IFERROR(IF(OR(INDEX(Species!$I$2:$I$300,$R32)="",INDEX(Species!$M$2:$M$300,$R32)=""),"",CHAR(MAX(CODE(INDEX(Species!$I$2:$I$300,$R32)),CODE(INDEX(Species!$M$2:$M$300,$R32))))),"")</f>
        <v>C</v>
      </c>
      <c r="H32" s="9" t="str">
        <f aca="false">IFERROR(MID(IF(AND(ISNUMBER(INDEX(Species!$J$2:$J$300,$R32)),N(INDEX(Species!$J$2:$J$300,$R32))&gt;1.5),"; LD50 sources differ "&amp;TEXT(INDEX(Species!$J$2:$J$300,$R32),"0.0")&amp;"x","")&amp;IF(AND(INDEX(Species!$H$2:$H$300,$R32)&lt;&gt;"",INDEX(Species!$H$2:$H$300,$R32)&lt;&gt;"SC"),"; LD50 route "&amp;INDEX(Species!$H$2:$H$300,$R32),"")&amp;IF(INDEX(Species!$I$2:$I$300,$R32)="D","; LD50 Tier D","")&amp;IF(AND(ISNUMBER(INDEX(Species!$N$2:$N$300,$R32)),N(INDEX(Species!$N$2:$N$300,$R32))&gt;1.5),"; yield sources differ "&amp;TEXT(INDEX(Species!$N$2:$N$300,$R32),"0.0")&amp;"x","")&amp;IF(INDEX(Species!$M$2:$M$300,$R32)="D","; yield Tier D",""),3,300),"")</f>
        <v/>
      </c>
      <c r="I32" s="5" t="str">
        <f aca="false">IFERROR(INDEX(Species!$S$2:$S$300,$R32)&amp;"","")</f>
        <v/>
      </c>
      <c r="J32" s="5" t="str">
        <f aca="false">IFERROR(INDEX(Species!$T$2:$T$300,$R32)&amp;"","")</f>
        <v/>
      </c>
      <c r="K32" s="10" t="n">
        <f aca="false">IFERROR(MEDIAN(0,100*(LOG10(ld_least)-LOG10(INDEX(Species!$G$2:$G$300,$R32)))/(LOG10(ld_least)-LOG10(ld_most)),100),"")</f>
        <v>91.9521260334086</v>
      </c>
      <c r="L32" s="10" t="n">
        <f aca="false">IFERROR(MEDIAN(0,100*(LOG10(INDEX(Species!$L$2:$L$300,$R32))-LOG10(y_min))/(LOG10(y_max)-LOG10(y_min)),100),"")</f>
        <v>37.4183103053275</v>
      </c>
      <c r="M32" s="10" t="n">
        <f aca="false">IFERROR(IF(ISNUMBER(INDEX(Species!$O$2:$O$300,$R32)),ord_floor+(ord_ceil-ord_floor)*(INDEX(Species!$O$2:$O$300,$R32)-1)/9,""),"")</f>
        <v>18.8888888888889</v>
      </c>
      <c r="N32" s="10" t="n">
        <f aca="false">IFERROR(IF(ISNUMBER(INDEX(Species!$P$2:$P$300,$R32)),ord_floor+(ord_ceil-ord_floor)*(INDEX(Species!$P$2:$P$300,$R32)-1)/4,""),"")</f>
        <v>30</v>
      </c>
      <c r="O32" s="10" t="n">
        <f aca="false">IFERROR(IF(ISNUMBER(INDEX(onset_ord,MATCH(INDEX(Species!$Q$2:$Q$300,$R32),onset_labels,0))),ord_floor+(ord_ceil-ord_floor)*(IF(onset_dir="mortality",6-INDEX(onset_ord,MATCH(INDEX(Species!$Q$2:$Q$300,$R32),onset_labels,0)),INDEX(onset_ord,MATCH(INDEX(Species!$Q$2:$Q$300,$R32),onset_labels,0)))-1)/4,""),"")</f>
        <v>30</v>
      </c>
      <c r="P32" s="10" t="n">
        <f aca="false">IFERROR(IF(ISNUMBER(INDEX(access_ord,MATCH(INDEX(Species!$R$2:$R$300,$R32),access_labels,0))),ord_floor+(ord_ceil-ord_floor)*(INDEX(access_ord,MATCH(INDEX(Species!$R$2:$R$300,$R32),access_labels,0))-1)/4,""),"")</f>
        <v>10</v>
      </c>
      <c r="Q32" s="5" t="n">
        <f aca="false">ISNUMBER(M32)*(w_enc&gt;0)+ISNUMBER(N32)*(w_bite&gt;0)+ISNUMBER(O32)*(w_onset&gt;0)+ISNUMBER(P32)*(w_access&gt;0)</f>
        <v>4</v>
      </c>
      <c r="R32" s="11" t="n">
        <f aca="false">IFERROR(MATCH($A32,Species!$A$2:$A$300,0),"")</f>
        <v>28</v>
      </c>
    </row>
    <row r="33" customFormat="false" ht="14.25" hidden="false" customHeight="true" outlineLevel="0" collapsed="false">
      <c r="A33" s="4" t="s">
        <v>49</v>
      </c>
      <c r="B33" s="5" t="str">
        <f aca="false">IFERROR(INDEX(Species!$B$2:$B$300,$R33),"NOT IN SPECIES")</f>
        <v>Rhinoceros viper</v>
      </c>
      <c r="C33" s="6" t="n">
        <f aca="false">IF(w_pot+w_qty&lt;=0,"",IF(AND(OR(w_pot=0,ISNUMBER(K33)),OR(w_qty=0,ISNUMBER(L33))),(w_pot*N(K33)+w_qty*N(L33))/(w_pot*ISNUMBER(K33)+w_qty*ISNUMBER(L33)),IF(ISNUMBER(K33),"needs yield","needs LD50")))</f>
        <v>63.3792937889886</v>
      </c>
      <c r="D33" s="7" t="n">
        <f aca="false">IF(ISNUMBER(C33),RANK(C33,$C$2:$C$300),"")</f>
        <v>33</v>
      </c>
      <c r="E33" s="6" t="n">
        <f aca="false">IF(w_enc+w_bite+w_onset+w_access&lt;=0,"",IF(Q33&lt;min_dims,"insufficient data",(w_enc*N(M33)+w_bite*N(N33)+w_onset*N(O33)+w_access*N(P33))/(w_enc*ISNUMBER(M33)+w_bite*ISNUMBER(N33)+w_onset*ISNUMBER(O33)+w_access*ISNUMBER(P33))))</f>
        <v>42.991452991453</v>
      </c>
      <c r="F33" s="7" t="n">
        <f aca="false">IF(ISNUMBER(E33),RANK(E33,$E$2:$E$300),"")</f>
        <v>47</v>
      </c>
      <c r="G33" s="8" t="str">
        <f aca="false">IFERROR(IF(OR(INDEX(Species!$I$2:$I$300,$R33)="",INDEX(Species!$M$2:$M$300,$R33)=""),"",CHAR(MAX(CODE(INDEX(Species!$I$2:$I$300,$R33)),CODE(INDEX(Species!$M$2:$M$300,$R33))))),"")</f>
        <v>C</v>
      </c>
      <c r="H33" s="9" t="str">
        <f aca="false">IFERROR(MID(IF(AND(ISNUMBER(INDEX(Species!$J$2:$J$300,$R33)),N(INDEX(Species!$J$2:$J$300,$R33))&gt;1.5),"; LD50 sources differ "&amp;TEXT(INDEX(Species!$J$2:$J$300,$R33),"0.0")&amp;"x","")&amp;IF(AND(INDEX(Species!$H$2:$H$300,$R33)&lt;&gt;"",INDEX(Species!$H$2:$H$300,$R33)&lt;&gt;"SC"),"; LD50 route "&amp;INDEX(Species!$H$2:$H$300,$R33),"")&amp;IF(INDEX(Species!$I$2:$I$300,$R33)="D","; LD50 Tier D","")&amp;IF(AND(ISNUMBER(INDEX(Species!$N$2:$N$300,$R33)),N(INDEX(Species!$N$2:$N$300,$R33))&gt;1.5),"; yield sources differ "&amp;TEXT(INDEX(Species!$N$2:$N$300,$R33),"0.0")&amp;"x","")&amp;IF(INDEX(Species!$M$2:$M$300,$R33)="D","; yield Tier D",""),3,300),"")</f>
        <v/>
      </c>
      <c r="I33" s="5" t="str">
        <f aca="false">IFERROR(INDEX(Species!$S$2:$S$300,$R33)&amp;"","")</f>
        <v/>
      </c>
      <c r="J33" s="5" t="str">
        <f aca="false">IFERROR(INDEX(Species!$T$2:$T$300,$R33)&amp;"","")</f>
        <v/>
      </c>
      <c r="K33" s="10" t="n">
        <f aca="false">IFERROR(MEDIAN(0,100*(LOG10(ld_least)-LOG10(INDEX(Species!$G$2:$G$300,$R33)))/(LOG10(ld_least)-LOG10(ld_most)),100),"")</f>
        <v>49.9407029721225</v>
      </c>
      <c r="L33" s="10" t="n">
        <f aca="false">IFERROR(MEDIAN(0,100*(LOG10(INDEX(Species!$L$2:$L$300,$R33))-LOG10(y_min))/(LOG10(y_max)-LOG10(y_min)),100),"")</f>
        <v>76.8178846058546</v>
      </c>
      <c r="M33" s="10" t="n">
        <f aca="false">IFERROR(IF(ISNUMBER(INDEX(Species!$O$2:$O$300,$R33)),ord_floor+(ord_ceil-ord_floor)*(INDEX(Species!$O$2:$O$300,$R33)-1)/9,""),"")</f>
        <v>27.7777777777778</v>
      </c>
      <c r="N33" s="10" t="n">
        <f aca="false">IFERROR(IF(ISNUMBER(INDEX(Species!$P$2:$P$300,$R33)),ord_floor+(ord_ceil-ord_floor)*(INDEX(Species!$P$2:$P$300,$R33)-1)/4,""),"")</f>
        <v>30</v>
      </c>
      <c r="O33" s="10" t="n">
        <f aca="false">IFERROR(IF(ISNUMBER(INDEX(onset_ord,MATCH(INDEX(Species!$Q$2:$Q$300,$R33),onset_labels,0))),ord_floor+(ord_ceil-ord_floor)*(IF(onset_dir="mortality",6-INDEX(onset_ord,MATCH(INDEX(Species!$Q$2:$Q$300,$R33),onset_labels,0)),INDEX(onset_ord,MATCH(INDEX(Species!$Q$2:$Q$300,$R33),onset_labels,0)))-1)/4,""),"")</f>
        <v>90</v>
      </c>
      <c r="P33" s="10" t="n">
        <f aca="false">IFERROR(IF(ISNUMBER(INDEX(access_ord,MATCH(INDEX(Species!$R$2:$R$300,$R33),access_labels,0))),ord_floor+(ord_ceil-ord_floor)*(INDEX(access_ord,MATCH(INDEX(Species!$R$2:$R$300,$R33),access_labels,0))-1)/4,""),"")</f>
        <v>30</v>
      </c>
      <c r="Q33" s="5" t="n">
        <f aca="false">ISNUMBER(M33)*(w_enc&gt;0)+ISNUMBER(N33)*(w_bite&gt;0)+ISNUMBER(O33)*(w_onset&gt;0)+ISNUMBER(P33)*(w_access&gt;0)</f>
        <v>4</v>
      </c>
      <c r="R33" s="11" t="n">
        <f aca="false">IFERROR(MATCH($A33,Species!$A$2:$A$300,0),"")</f>
        <v>22</v>
      </c>
    </row>
    <row r="34" customFormat="false" ht="14.25" hidden="false" customHeight="true" outlineLevel="0" collapsed="false">
      <c r="A34" s="4" t="s">
        <v>50</v>
      </c>
      <c r="B34" s="5" t="str">
        <f aca="false">IFERROR(INDEX(Species!$B$2:$B$300,$R34),"NOT IN SPECIES")</f>
        <v>Common European viper</v>
      </c>
      <c r="C34" s="6" t="n">
        <f aca="false">IF(w_pot+w_qty&lt;=0,"",IF(AND(OR(w_pot=0,ISNUMBER(K34)),OR(w_qty=0,ISNUMBER(L34))),(w_pot*N(K34)+w_qty*N(L34))/(w_pot*ISNUMBER(K34)+w_qty*ISNUMBER(L34)),IF(ISNUMBER(K34),"needs yield","needs LD50")))</f>
        <v>62.5005652388948</v>
      </c>
      <c r="D34" s="7" t="n">
        <f aca="false">IF(ISNUMBER(C34),RANK(C34,$C$2:$C$300),"")</f>
        <v>34</v>
      </c>
      <c r="E34" s="6" t="n">
        <f aca="false">IF(w_enc+w_bite+w_onset+w_access&lt;=0,"",IF(Q34&lt;min_dims,"insufficient data",(w_enc*N(M34)+w_bite*N(N34)+w_onset*N(O34)+w_access*N(P34))/(w_enc*ISNUMBER(M34)+w_bite*ISNUMBER(N34)+w_onset*ISNUMBER(O34)+w_access*ISNUMBER(P34))))</f>
        <v>50.1709401709402</v>
      </c>
      <c r="F34" s="7" t="n">
        <f aca="false">IF(ISNUMBER(E34),RANK(E34,$E$2:$E$300),"")</f>
        <v>26</v>
      </c>
      <c r="G34" s="8" t="str">
        <f aca="false">IFERROR(IF(OR(INDEX(Species!$I$2:$I$300,$R34)="",INDEX(Species!$M$2:$M$300,$R34)=""),"",CHAR(MAX(CODE(INDEX(Species!$I$2:$I$300,$R34)),CODE(INDEX(Species!$M$2:$M$300,$R34))))),"")</f>
        <v>C</v>
      </c>
      <c r="H34" s="9" t="str">
        <f aca="false">IFERROR(MID(IF(AND(ISNUMBER(INDEX(Species!$J$2:$J$300,$R34)),N(INDEX(Species!$J$2:$J$300,$R34))&gt;1.5),"; LD50 sources differ "&amp;TEXT(INDEX(Species!$J$2:$J$300,$R34),"0.0")&amp;"x","")&amp;IF(AND(INDEX(Species!$H$2:$H$300,$R34)&lt;&gt;"",INDEX(Species!$H$2:$H$300,$R34)&lt;&gt;"SC"),"; LD50 route "&amp;INDEX(Species!$H$2:$H$300,$R34),"")&amp;IF(INDEX(Species!$I$2:$I$300,$R34)="D","; LD50 Tier D","")&amp;IF(AND(ISNUMBER(INDEX(Species!$N$2:$N$300,$R34)),N(INDEX(Species!$N$2:$N$300,$R34))&gt;1.5),"; yield sources differ "&amp;TEXT(INDEX(Species!$N$2:$N$300,$R34),"0.0")&amp;"x","")&amp;IF(INDEX(Species!$M$2:$M$300,$R34)="D","; yield Tier D",""),3,300),"")</f>
        <v/>
      </c>
      <c r="I34" s="5" t="str">
        <f aca="false">IFERROR(INDEX(Species!$S$2:$S$300,$R34)&amp;"","")</f>
        <v/>
      </c>
      <c r="J34" s="5" t="str">
        <f aca="false">IFERROR(INDEX(Species!$T$2:$T$300,$R34)&amp;"","")</f>
        <v/>
      </c>
      <c r="K34" s="10" t="n">
        <f aca="false">IFERROR(MEDIAN(0,100*(LOG10(ld_least)-LOG10(INDEX(Species!$G$2:$G$300,$R34)))/(LOG10(ld_least)-LOG10(ld_most)),100),"")</f>
        <v>80.8929787498337</v>
      </c>
      <c r="L34" s="10" t="n">
        <f aca="false">IFERROR(MEDIAN(0,100*(LOG10(INDEX(Species!$L$2:$L$300,$R34))-LOG10(y_min))/(LOG10(y_max)-LOG10(y_min)),100),"")</f>
        <v>44.1081517279558</v>
      </c>
      <c r="M34" s="10" t="n">
        <f aca="false">IFERROR(IF(ISNUMBER(INDEX(Species!$O$2:$O$300,$R34)),ord_floor+(ord_ceil-ord_floor)*(INDEX(Species!$O$2:$O$300,$R34)-1)/9,""),"")</f>
        <v>54.4444444444444</v>
      </c>
      <c r="N34" s="10" t="n">
        <f aca="false">IFERROR(IF(ISNUMBER(INDEX(Species!$P$2:$P$300,$R34)),ord_floor+(ord_ceil-ord_floor)*(INDEX(Species!$P$2:$P$300,$R34)-1)/4,""),"")</f>
        <v>30</v>
      </c>
      <c r="O34" s="10" t="n">
        <f aca="false">IFERROR(IF(ISNUMBER(INDEX(onset_ord,MATCH(INDEX(Species!$Q$2:$Q$300,$R34),onset_labels,0))),ord_floor+(ord_ceil-ord_floor)*(IF(onset_dir="mortality",6-INDEX(onset_ord,MATCH(INDEX(Species!$Q$2:$Q$300,$R34),onset_labels,0)),INDEX(onset_ord,MATCH(INDEX(Species!$Q$2:$Q$300,$R34),onset_labels,0)))-1)/4,""),"")</f>
        <v>90</v>
      </c>
      <c r="P34" s="10" t="n">
        <f aca="false">IFERROR(IF(ISNUMBER(INDEX(access_ord,MATCH(INDEX(Species!$R$2:$R$300,$R34),access_labels,0))),ord_floor+(ord_ceil-ord_floor)*(INDEX(access_ord,MATCH(INDEX(Species!$R$2:$R$300,$R34),access_labels,0))-1)/4,""),"")</f>
        <v>10</v>
      </c>
      <c r="Q34" s="5" t="n">
        <f aca="false">ISNUMBER(M34)*(w_enc&gt;0)+ISNUMBER(N34)*(w_bite&gt;0)+ISNUMBER(O34)*(w_onset&gt;0)+ISNUMBER(P34)*(w_access&gt;0)</f>
        <v>4</v>
      </c>
      <c r="R34" s="11" t="n">
        <f aca="false">IFERROR(MATCH($A34,Species!$A$2:$A$300,0),"")</f>
        <v>29</v>
      </c>
    </row>
    <row r="35" customFormat="false" ht="14.25" hidden="false" customHeight="true" outlineLevel="0" collapsed="false">
      <c r="A35" s="4" t="s">
        <v>51</v>
      </c>
      <c r="B35" s="5" t="str">
        <f aca="false">IFERROR(INDEX(Species!$B$2:$B$300,$R35),"NOT IN SPECIES")</f>
        <v>Terciopelo</v>
      </c>
      <c r="C35" s="6" t="n">
        <f aca="false">IF(w_pot+w_qty&lt;=0,"",IF(AND(OR(w_pot=0,ISNUMBER(K35)),OR(w_qty=0,ISNUMBER(L35))),(w_pot*N(K35)+w_qty*N(L35))/(w_pot*ISNUMBER(K35)+w_qty*ISNUMBER(L35)),IF(ISNUMBER(K35),"needs yield","needs LD50")))</f>
        <v>60.8263658138792</v>
      </c>
      <c r="D35" s="7" t="n">
        <f aca="false">IF(ISNUMBER(C35),RANK(C35,$C$2:$C$300),"")</f>
        <v>37</v>
      </c>
      <c r="E35" s="6" t="n">
        <f aca="false">IF(w_enc+w_bite+w_onset+w_access&lt;=0,"",IF(Q35&lt;min_dims,"insufficient data",(w_enc*N(M35)+w_bite*N(N35)+w_onset*N(O35)+w_access*N(P35))/(w_enc*ISNUMBER(M35)+w_bite*ISNUMBER(N35)+w_onset*ISNUMBER(O35)+w_access*ISNUMBER(P35))))</f>
        <v>72.7350427350427</v>
      </c>
      <c r="F35" s="7" t="n">
        <f aca="false">IF(ISNUMBER(E35),RANK(E35,$E$2:$E$300),"")</f>
        <v>3</v>
      </c>
      <c r="G35" s="8" t="str">
        <f aca="false">IFERROR(IF(OR(INDEX(Species!$I$2:$I$300,$R35)="",INDEX(Species!$M$2:$M$300,$R35)=""),"",CHAR(MAX(CODE(INDEX(Species!$I$2:$I$300,$R35)),CODE(INDEX(Species!$M$2:$M$300,$R35))))),"")</f>
        <v>C</v>
      </c>
      <c r="H35" s="9" t="str">
        <f aca="false">IFERROR(MID(IF(AND(ISNUMBER(INDEX(Species!$J$2:$J$300,$R35)),N(INDEX(Species!$J$2:$J$300,$R35))&gt;1.5),"; LD50 sources differ "&amp;TEXT(INDEX(Species!$J$2:$J$300,$R35),"0.0")&amp;"x","")&amp;IF(AND(INDEX(Species!$H$2:$H$300,$R35)&lt;&gt;"",INDEX(Species!$H$2:$H$300,$R35)&lt;&gt;"SC"),"; LD50 route "&amp;INDEX(Species!$H$2:$H$300,$R35),"")&amp;IF(INDEX(Species!$I$2:$I$300,$R35)="D","; LD50 Tier D","")&amp;IF(AND(ISNUMBER(INDEX(Species!$N$2:$N$300,$R35)),N(INDEX(Species!$N$2:$N$300,$R35))&gt;1.5),"; yield sources differ "&amp;TEXT(INDEX(Species!$N$2:$N$300,$R35),"0.0")&amp;"x","")&amp;IF(INDEX(Species!$M$2:$M$300,$R35)="D","; yield Tier D",""),3,300),"")</f>
        <v/>
      </c>
      <c r="I35" s="5" t="str">
        <f aca="false">IFERROR(INDEX(Species!$S$2:$S$300,$R35)&amp;"","")</f>
        <v/>
      </c>
      <c r="J35" s="5" t="str">
        <f aca="false">IFERROR(INDEX(Species!$T$2:$T$300,$R35)&amp;"","")</f>
        <v/>
      </c>
      <c r="K35" s="10" t="n">
        <f aca="false">IFERROR(MEDIAN(0,100*(LOG10(ld_least)-LOG10(INDEX(Species!$G$2:$G$300,$R35)))/(LOG10(ld_least)-LOG10(ld_most)),100),"")</f>
        <v>38.8815556885477</v>
      </c>
      <c r="L35" s="10" t="n">
        <f aca="false">IFERROR(MEDIAN(0,100*(LOG10(INDEX(Species!$L$2:$L$300,$R35))-LOG10(y_min))/(LOG10(y_max)-LOG10(y_min)),100),"")</f>
        <v>82.7711759392107</v>
      </c>
      <c r="M35" s="10" t="n">
        <f aca="false">IFERROR(IF(ISNUMBER(INDEX(Species!$O$2:$O$300,$R35)),ord_floor+(ord_ceil-ord_floor)*(INDEX(Species!$O$2:$O$300,$R35)-1)/9,""),"")</f>
        <v>81.1111111111111</v>
      </c>
      <c r="N35" s="10" t="n">
        <f aca="false">IFERROR(IF(ISNUMBER(INDEX(Species!$P$2:$P$300,$R35)),ord_floor+(ord_ceil-ord_floor)*(INDEX(Species!$P$2:$P$300,$R35)-1)/4,""),"")</f>
        <v>90</v>
      </c>
      <c r="O35" s="10" t="n">
        <f aca="false">IFERROR(IF(ISNUMBER(INDEX(onset_ord,MATCH(INDEX(Species!$Q$2:$Q$300,$R35),onset_labels,0))),ord_floor+(ord_ceil-ord_floor)*(IF(onset_dir="mortality",6-INDEX(onset_ord,MATCH(INDEX(Species!$Q$2:$Q$300,$R35),onset_labels,0)),INDEX(onset_ord,MATCH(INDEX(Species!$Q$2:$Q$300,$R35),onset_labels,0)))-1)/4,""),"")</f>
        <v>70</v>
      </c>
      <c r="P35" s="10" t="n">
        <f aca="false">IFERROR(IF(ISNUMBER(INDEX(access_ord,MATCH(INDEX(Species!$R$2:$R$300,$R35),access_labels,0))),ord_floor+(ord_ceil-ord_floor)*(INDEX(access_ord,MATCH(INDEX(Species!$R$2:$R$300,$R35),access_labels,0))-1)/4,""),"")</f>
        <v>30</v>
      </c>
      <c r="Q35" s="5" t="n">
        <f aca="false">ISNUMBER(M35)*(w_enc&gt;0)+ISNUMBER(N35)*(w_bite&gt;0)+ISNUMBER(O35)*(w_onset&gt;0)+ISNUMBER(P35)*(w_access&gt;0)</f>
        <v>4</v>
      </c>
      <c r="R35" s="11" t="n">
        <f aca="false">IFERROR(MATCH($A35,Species!$A$2:$A$300,0),"")</f>
        <v>23</v>
      </c>
    </row>
    <row r="36" customFormat="false" ht="14.25" hidden="false" customHeight="true" outlineLevel="0" collapsed="false">
      <c r="A36" s="4" t="s">
        <v>52</v>
      </c>
      <c r="B36" s="5" t="str">
        <f aca="false">IFERROR(INDEX(Species!$B$2:$B$300,$R36),"NOT IN SPECIES")</f>
        <v>Blunt-nosed viper</v>
      </c>
      <c r="C36" s="6" t="n">
        <f aca="false">IF(w_pot+w_qty&lt;=0,"",IF(AND(OR(w_pot=0,ISNUMBER(K36)),OR(w_qty=0,ISNUMBER(L36))),(w_pot*N(K36)+w_qty*N(L36))/(w_pot*ISNUMBER(K36)+w_qty*ISNUMBER(L36)),IF(ISNUMBER(K36),"needs yield","needs LD50")))</f>
        <v>60.8365819393079</v>
      </c>
      <c r="D36" s="7" t="n">
        <f aca="false">IF(ISNUMBER(C36),RANK(C36,$C$2:$C$300),"")</f>
        <v>36</v>
      </c>
      <c r="E36" s="6" t="n">
        <f aca="false">IF(w_enc+w_bite+w_onset+w_access&lt;=0,"",IF(Q36&lt;min_dims,"insufficient data",(w_enc*N(M36)+w_bite*N(N36)+w_onset*N(O36)+w_access*N(P36))/(w_enc*ISNUMBER(M36)+w_bite*ISNUMBER(N36)+w_onset*ISNUMBER(O36)+w_access*ISNUMBER(P36))))</f>
        <v>57.8632478632479</v>
      </c>
      <c r="F36" s="7" t="n">
        <f aca="false">IF(ISNUMBER(E36),RANK(E36,$E$2:$E$300),"")</f>
        <v>10</v>
      </c>
      <c r="G36" s="8" t="str">
        <f aca="false">IFERROR(IF(OR(INDEX(Species!$I$2:$I$300,$R36)="",INDEX(Species!$M$2:$M$300,$R36)=""),"",CHAR(MAX(CODE(INDEX(Species!$I$2:$I$300,$R36)),CODE(INDEX(Species!$M$2:$M$300,$R36))))),"")</f>
        <v>C</v>
      </c>
      <c r="H36" s="9" t="str">
        <f aca="false">IFERROR(MID(IF(AND(ISNUMBER(INDEX(Species!$J$2:$J$300,$R36)),N(INDEX(Species!$J$2:$J$300,$R36))&gt;1.5),"; LD50 sources differ "&amp;TEXT(INDEX(Species!$J$2:$J$300,$R36),"0.0")&amp;"x","")&amp;IF(AND(INDEX(Species!$H$2:$H$300,$R36)&lt;&gt;"",INDEX(Species!$H$2:$H$300,$R36)&lt;&gt;"SC"),"; LD50 route "&amp;INDEX(Species!$H$2:$H$300,$R36),"")&amp;IF(INDEX(Species!$I$2:$I$300,$R36)="D","; LD50 Tier D","")&amp;IF(AND(ISNUMBER(INDEX(Species!$N$2:$N$300,$R36)),N(INDEX(Species!$N$2:$N$300,$R36))&gt;1.5),"; yield sources differ "&amp;TEXT(INDEX(Species!$N$2:$N$300,$R36),"0.0")&amp;"x","")&amp;IF(INDEX(Species!$M$2:$M$300,$R36)="D","; yield Tier D",""),3,300),"")</f>
        <v/>
      </c>
      <c r="I36" s="5" t="str">
        <f aca="false">IFERROR(INDEX(Species!$S$2:$S$300,$R36)&amp;"","")</f>
        <v/>
      </c>
      <c r="J36" s="5" t="str">
        <f aca="false">IFERROR(INDEX(Species!$T$2:$T$300,$R36)&amp;"","")</f>
        <v/>
      </c>
      <c r="K36" s="10" t="n">
        <f aca="false">IFERROR(MEDIAN(0,100*(LOG10(ld_least)-LOG10(INDEX(Species!$G$2:$G$300,$R36)))/(LOG10(ld_least)-LOG10(ld_most)),100),"")</f>
        <v>48.7631764070849</v>
      </c>
      <c r="L36" s="10" t="n">
        <f aca="false">IFERROR(MEDIAN(0,100*(LOG10(INDEX(Species!$L$2:$L$300,$R36))-LOG10(y_min))/(LOG10(y_max)-LOG10(y_min)),100),"")</f>
        <v>72.9099874715309</v>
      </c>
      <c r="M36" s="10" t="n">
        <f aca="false">IFERROR(IF(ISNUMBER(INDEX(Species!$O$2:$O$300,$R36)),ord_floor+(ord_ceil-ord_floor)*(INDEX(Species!$O$2:$O$300,$R36)-1)/9,""),"")</f>
        <v>54.4444444444444</v>
      </c>
      <c r="N36" s="10" t="n">
        <f aca="false">IFERROR(IF(ISNUMBER(INDEX(Species!$P$2:$P$300,$R36)),ord_floor+(ord_ceil-ord_floor)*(INDEX(Species!$P$2:$P$300,$R36)-1)/4,""),"")</f>
        <v>70</v>
      </c>
      <c r="O36" s="10" t="n">
        <f aca="false">IFERROR(IF(ISNUMBER(INDEX(onset_ord,MATCH(INDEX(Species!$Q$2:$Q$300,$R36),onset_labels,0))),ord_floor+(ord_ceil-ord_floor)*(IF(onset_dir="mortality",6-INDEX(onset_ord,MATCH(INDEX(Species!$Q$2:$Q$300,$R36),onset_labels,0)),INDEX(onset_ord,MATCH(INDEX(Species!$Q$2:$Q$300,$R36),onset_labels,0)))-1)/4,""),"")</f>
        <v>70</v>
      </c>
      <c r="P36" s="10" t="n">
        <f aca="false">IFERROR(IF(ISNUMBER(INDEX(access_ord,MATCH(INDEX(Species!$R$2:$R$300,$R36),access_labels,0))),ord_floor+(ord_ceil-ord_floor)*(INDEX(access_ord,MATCH(INDEX(Species!$R$2:$R$300,$R36),access_labels,0))-1)/4,""),"")</f>
        <v>30</v>
      </c>
      <c r="Q36" s="5" t="n">
        <f aca="false">ISNUMBER(M36)*(w_enc&gt;0)+ISNUMBER(N36)*(w_bite&gt;0)+ISNUMBER(O36)*(w_onset&gt;0)+ISNUMBER(P36)*(w_access&gt;0)</f>
        <v>4</v>
      </c>
      <c r="R36" s="11" t="n">
        <f aca="false">IFERROR(MATCH($A36,Species!$A$2:$A$300,0),"")</f>
        <v>26</v>
      </c>
    </row>
    <row r="37" customFormat="false" ht="14.25" hidden="false" customHeight="true" outlineLevel="0" collapsed="false">
      <c r="A37" s="4" t="s">
        <v>53</v>
      </c>
      <c r="B37" s="5" t="str">
        <f aca="false">IFERROR(INDEX(Species!$B$2:$B$300,$R37),"NOT IN SPECIES")</f>
        <v>Western rattlesnake</v>
      </c>
      <c r="C37" s="6" t="n">
        <f aca="false">IF(w_pot+w_qty&lt;=0,"",IF(AND(OR(w_pot=0,ISNUMBER(K37)),OR(w_qty=0,ISNUMBER(L37))),(w_pot*N(K37)+w_qty*N(L37))/(w_pot*ISNUMBER(K37)+w_qty*ISNUMBER(L37)),IF(ISNUMBER(K37),"needs yield","needs LD50")))</f>
        <v>60.1440296750018</v>
      </c>
      <c r="D37" s="7" t="n">
        <f aca="false">IF(ISNUMBER(C37),RANK(C37,$C$2:$C$300),"")</f>
        <v>39</v>
      </c>
      <c r="E37" s="6" t="n">
        <f aca="false">IF(w_enc+w_bite+w_onset+w_access&lt;=0,"",IF(Q37&lt;min_dims,"insufficient data",(w_enc*N(M37)+w_bite*N(N37)+w_onset*N(O37)+w_access*N(P37))/(w_enc*ISNUMBER(M37)+w_bite*ISNUMBER(N37)+w_onset*ISNUMBER(O37)+w_access*ISNUMBER(P37))))</f>
        <v>46.7521367521368</v>
      </c>
      <c r="F37" s="7" t="n">
        <f aca="false">IF(ISNUMBER(E37),RANK(E37,$E$2:$E$300),"")</f>
        <v>36</v>
      </c>
      <c r="G37" s="8" t="str">
        <f aca="false">IFERROR(IF(OR(INDEX(Species!$I$2:$I$300,$R37)="",INDEX(Species!$M$2:$M$300,$R37)=""),"",CHAR(MAX(CODE(INDEX(Species!$I$2:$I$300,$R37)),CODE(INDEX(Species!$M$2:$M$300,$R37))))),"")</f>
        <v>C</v>
      </c>
      <c r="H37" s="9" t="str">
        <f aca="false">IFERROR(MID(IF(AND(ISNUMBER(INDEX(Species!$J$2:$J$300,$R37)),N(INDEX(Species!$J$2:$J$300,$R37))&gt;1.5),"; LD50 sources differ "&amp;TEXT(INDEX(Species!$J$2:$J$300,$R37),"0.0")&amp;"x","")&amp;IF(AND(INDEX(Species!$H$2:$H$300,$R37)&lt;&gt;"",INDEX(Species!$H$2:$H$300,$R37)&lt;&gt;"SC"),"; LD50 route "&amp;INDEX(Species!$H$2:$H$300,$R37),"")&amp;IF(INDEX(Species!$I$2:$I$300,$R37)="D","; LD50 Tier D","")&amp;IF(AND(ISNUMBER(INDEX(Species!$N$2:$N$300,$R37)),N(INDEX(Species!$N$2:$N$300,$R37))&gt;1.5),"; yield sources differ "&amp;TEXT(INDEX(Species!$N$2:$N$300,$R37),"0.0")&amp;"x","")&amp;IF(INDEX(Species!$M$2:$M$300,$R37)="D","; yield Tier D",""),3,300),"")</f>
        <v/>
      </c>
      <c r="I37" s="5" t="str">
        <f aca="false">IFERROR(INDEX(Species!$S$2:$S$300,$R37)&amp;"","")</f>
        <v/>
      </c>
      <c r="J37" s="5" t="str">
        <f aca="false">IFERROR(INDEX(Species!$T$2:$T$300,$R37)&amp;"","")</f>
        <v/>
      </c>
      <c r="K37" s="10" t="n">
        <f aca="false">IFERROR(MEDIAN(0,100*(LOG10(ld_least)-LOG10(INDEX(Species!$G$2:$G$300,$R37)))/(LOG10(ld_least)-LOG10(ld_most)),100),"")</f>
        <v>40.4389742341839</v>
      </c>
      <c r="L37" s="10" t="n">
        <f aca="false">IFERROR(MEDIAN(0,100*(LOG10(INDEX(Species!$L$2:$L$300,$R37))-LOG10(y_min))/(LOG10(y_max)-LOG10(y_min)),100),"")</f>
        <v>79.8490851158196</v>
      </c>
      <c r="M37" s="10" t="n">
        <f aca="false">IFERROR(IF(ISNUMBER(INDEX(Species!$O$2:$O$300,$R37)),ord_floor+(ord_ceil-ord_floor)*(INDEX(Species!$O$2:$O$300,$R37)-1)/9,""),"")</f>
        <v>45.5555555555556</v>
      </c>
      <c r="N37" s="10" t="n">
        <f aca="false">IFERROR(IF(ISNUMBER(INDEX(Species!$P$2:$P$300,$R37)),ord_floor+(ord_ceil-ord_floor)*(INDEX(Species!$P$2:$P$300,$R37)-1)/4,""),"")</f>
        <v>50</v>
      </c>
      <c r="O37" s="10" t="n">
        <f aca="false">IFERROR(IF(ISNUMBER(INDEX(onset_ord,MATCH(INDEX(Species!$Q$2:$Q$300,$R37),onset_labels,0))),ord_floor+(ord_ceil-ord_floor)*(IF(onset_dir="mortality",6-INDEX(onset_ord,MATCH(INDEX(Species!$Q$2:$Q$300,$R37),onset_labels,0)),INDEX(onset_ord,MATCH(INDEX(Species!$Q$2:$Q$300,$R37),onset_labels,0)))-1)/4,""),"")</f>
        <v>70</v>
      </c>
      <c r="P37" s="10" t="n">
        <f aca="false">IFERROR(IF(ISNUMBER(INDEX(access_ord,MATCH(INDEX(Species!$R$2:$R$300,$R37),access_labels,0))),ord_floor+(ord_ceil-ord_floor)*(INDEX(access_ord,MATCH(INDEX(Species!$R$2:$R$300,$R37),access_labels,0))-1)/4,""),"")</f>
        <v>10</v>
      </c>
      <c r="Q37" s="5" t="n">
        <f aca="false">ISNUMBER(M37)*(w_enc&gt;0)+ISNUMBER(N37)*(w_bite&gt;0)+ISNUMBER(O37)*(w_onset&gt;0)+ISNUMBER(P37)*(w_access&gt;0)</f>
        <v>4</v>
      </c>
      <c r="R37" s="11" t="n">
        <f aca="false">IFERROR(MATCH($A37,Species!$A$2:$A$300,0),"")</f>
        <v>25</v>
      </c>
    </row>
    <row r="38" customFormat="false" ht="14.25" hidden="false" customHeight="true" outlineLevel="0" collapsed="false">
      <c r="A38" s="4" t="s">
        <v>54</v>
      </c>
      <c r="B38" s="5" t="str">
        <f aca="false">IFERROR(INDEX(Species!$B$2:$B$300,$R38),"NOT IN SPECIES")</f>
        <v>Boomslang</v>
      </c>
      <c r="C38" s="6" t="n">
        <f aca="false">IF(w_pot+w_qty&lt;=0,"",IF(AND(OR(w_pot=0,ISNUMBER(K38)),OR(w_qty=0,ISNUMBER(L38))),(w_pot*N(K38)+w_qty*N(L38))/(w_pot*ISNUMBER(K38)+w_qty*ISNUMBER(L38)),IF(ISNUMBER(K38),"needs yield","needs LD50")))</f>
        <v>61.116002269462</v>
      </c>
      <c r="D38" s="7" t="n">
        <f aca="false">IF(ISNUMBER(C38),RANK(C38,$C$2:$C$300),"")</f>
        <v>35</v>
      </c>
      <c r="E38" s="6" t="n">
        <f aca="false">IF(w_enc+w_bite+w_onset+w_access&lt;=0,"",IF(Q38&lt;min_dims,"insufficient data",(w_enc*N(M38)+w_bite*N(N38)+w_onset*N(O38)+w_access*N(P38))/(w_enc*ISNUMBER(M38)+w_bite*ISNUMBER(N38)+w_onset*ISNUMBER(O38)+w_access*ISNUMBER(P38))))</f>
        <v>42.6495726495727</v>
      </c>
      <c r="F38" s="7" t="n">
        <f aca="false">IF(ISNUMBER(E38),RANK(E38,$E$2:$E$300),"")</f>
        <v>51</v>
      </c>
      <c r="G38" s="8" t="str">
        <f aca="false">IFERROR(IF(OR(INDEX(Species!$I$2:$I$300,$R38)="",INDEX(Species!$M$2:$M$300,$R38)=""),"",CHAR(MAX(CODE(INDEX(Species!$I$2:$I$300,$R38)),CODE(INDEX(Species!$M$2:$M$300,$R38))))),"")</f>
        <v>C</v>
      </c>
      <c r="H38" s="9" t="str">
        <f aca="false">IFERROR(MID(IF(AND(ISNUMBER(INDEX(Species!$J$2:$J$300,$R38)),N(INDEX(Species!$J$2:$J$300,$R38))&gt;1.5),"; LD50 sources differ "&amp;TEXT(INDEX(Species!$J$2:$J$300,$R38),"0.0")&amp;"x","")&amp;IF(AND(INDEX(Species!$H$2:$H$300,$R38)&lt;&gt;"",INDEX(Species!$H$2:$H$300,$R38)&lt;&gt;"SC"),"; LD50 route "&amp;INDEX(Species!$H$2:$H$300,$R38),"")&amp;IF(INDEX(Species!$I$2:$I$300,$R38)="D","; LD50 Tier D","")&amp;IF(AND(ISNUMBER(INDEX(Species!$N$2:$N$300,$R38)),N(INDEX(Species!$N$2:$N$300,$R38))&gt;1.5),"; yield sources differ "&amp;TEXT(INDEX(Species!$N$2:$N$300,$R38),"0.0")&amp;"x","")&amp;IF(INDEX(Species!$M$2:$M$300,$R38)="D","; yield Tier D",""),3,300),"")</f>
        <v/>
      </c>
      <c r="I38" s="5" t="str">
        <f aca="false">IFERROR(INDEX(Species!$S$2:$S$300,$R38)&amp;"","")</f>
        <v/>
      </c>
      <c r="J38" s="5" t="str">
        <f aca="false">IFERROR(INDEX(Species!$T$2:$T$300,$R38)&amp;"","")</f>
        <v/>
      </c>
      <c r="K38" s="10" t="n">
        <f aca="false">IFERROR(MEDIAN(0,100*(LOG10(ld_least)-LOG10(INDEX(Species!$G$2:$G$300,$R38)))/(LOG10(ld_least)-LOG10(ld_most)),100),"")</f>
        <v>89.139596131642</v>
      </c>
      <c r="L38" s="10" t="n">
        <f aca="false">IFERROR(MEDIAN(0,100*(LOG10(INDEX(Species!$L$2:$L$300,$R38))-LOG10(y_min))/(LOG10(y_max)-LOG10(y_min)),100),"")</f>
        <v>33.092408407282</v>
      </c>
      <c r="M38" s="10" t="n">
        <f aca="false">IFERROR(IF(ISNUMBER(INDEX(Species!$O$2:$O$300,$R38)),ord_floor+(ord_ceil-ord_floor)*(INDEX(Species!$O$2:$O$300,$R38)-1)/9,""),"")</f>
        <v>18.8888888888889</v>
      </c>
      <c r="N38" s="10" t="n">
        <f aca="false">IFERROR(IF(ISNUMBER(INDEX(Species!$P$2:$P$300,$R38)),ord_floor+(ord_ceil-ord_floor)*(INDEX(Species!$P$2:$P$300,$R38)-1)/4,""),"")</f>
        <v>30</v>
      </c>
      <c r="O38" s="10" t="n">
        <f aca="false">IFERROR(IF(ISNUMBER(INDEX(onset_ord,MATCH(INDEX(Species!$Q$2:$Q$300,$R38),onset_labels,0))),ord_floor+(ord_ceil-ord_floor)*(IF(onset_dir="mortality",6-INDEX(onset_ord,MATCH(INDEX(Species!$Q$2:$Q$300,$R38),onset_labels,0)),INDEX(onset_ord,MATCH(INDEX(Species!$Q$2:$Q$300,$R38),onset_labels,0)))-1)/4,""),"")</f>
        <v>90</v>
      </c>
      <c r="P38" s="10" t="n">
        <f aca="false">IFERROR(IF(ISNUMBER(INDEX(access_ord,MATCH(INDEX(Species!$R$2:$R$300,$R38),access_labels,0))),ord_floor+(ord_ceil-ord_floor)*(INDEX(access_ord,MATCH(INDEX(Species!$R$2:$R$300,$R38),access_labels,0))-1)/4,""),"")</f>
        <v>50</v>
      </c>
      <c r="Q38" s="5" t="n">
        <f aca="false">ISNUMBER(M38)*(w_enc&gt;0)+ISNUMBER(N38)*(w_bite&gt;0)+ISNUMBER(O38)*(w_onset&gt;0)+ISNUMBER(P38)*(w_access&gt;0)</f>
        <v>4</v>
      </c>
      <c r="R38" s="11" t="n">
        <f aca="false">IFERROR(MATCH($A38,Species!$A$2:$A$300,0),"")</f>
        <v>33</v>
      </c>
    </row>
    <row r="39" customFormat="false" ht="14.25" hidden="false" customHeight="true" outlineLevel="0" collapsed="false">
      <c r="A39" s="4" t="s">
        <v>55</v>
      </c>
      <c r="B39" s="5" t="str">
        <f aca="false">IFERROR(INDEX(Species!$B$2:$B$300,$R39),"NOT IN SPECIES")</f>
        <v>Olive brown sea snake</v>
      </c>
      <c r="C39" s="6" t="n">
        <f aca="false">IF(w_pot+w_qty&lt;=0,"",IF(AND(OR(w_pot=0,ISNUMBER(K39)),OR(w_qty=0,ISNUMBER(L39))),(w_pot*N(K39)+w_qty*N(L39))/(w_pot*ISNUMBER(K39)+w_qty*ISNUMBER(L39)),IF(ISNUMBER(K39),"needs yield","needs LD50")))</f>
        <v>60.2941155040911</v>
      </c>
      <c r="D39" s="7" t="n">
        <f aca="false">IF(ISNUMBER(C39),RANK(C39,$C$2:$C$300),"")</f>
        <v>38</v>
      </c>
      <c r="E39" s="6" t="n">
        <f aca="false">IF(w_enc+w_bite+w_onset+w_access&lt;=0,"",IF(Q39&lt;min_dims,"insufficient data",(w_enc*N(M39)+w_bite*N(N39)+w_onset*N(O39)+w_access*N(P39))/(w_enc*ISNUMBER(M39)+w_bite*ISNUMBER(N39)+w_onset*ISNUMBER(O39)+w_access*ISNUMBER(P39))))</f>
        <v>30</v>
      </c>
      <c r="F39" s="7" t="n">
        <f aca="false">IF(ISNUMBER(E39),RANK(E39,$E$2:$E$300),"")</f>
        <v>79</v>
      </c>
      <c r="G39" s="8" t="str">
        <f aca="false">IFERROR(IF(OR(INDEX(Species!$I$2:$I$300,$R39)="",INDEX(Species!$M$2:$M$300,$R39)=""),"",CHAR(MAX(CODE(INDEX(Species!$I$2:$I$300,$R39)),CODE(INDEX(Species!$M$2:$M$300,$R39))))),"")</f>
        <v>C</v>
      </c>
      <c r="H39" s="9" t="str">
        <f aca="false">IFERROR(MID(IF(AND(ISNUMBER(INDEX(Species!$J$2:$J$300,$R39)),N(INDEX(Species!$J$2:$J$300,$R39))&gt;1.5),"; LD50 sources differ "&amp;TEXT(INDEX(Species!$J$2:$J$300,$R39),"0.0")&amp;"x","")&amp;IF(AND(INDEX(Species!$H$2:$H$300,$R39)&lt;&gt;"",INDEX(Species!$H$2:$H$300,$R39)&lt;&gt;"SC"),"; LD50 route "&amp;INDEX(Species!$H$2:$H$300,$R39),"")&amp;IF(INDEX(Species!$I$2:$I$300,$R39)="D","; LD50 Tier D","")&amp;IF(AND(ISNUMBER(INDEX(Species!$N$2:$N$300,$R39)),N(INDEX(Species!$N$2:$N$300,$R39))&gt;1.5),"; yield sources differ "&amp;TEXT(INDEX(Species!$N$2:$N$300,$R39),"0.0")&amp;"x","")&amp;IF(INDEX(Species!$M$2:$M$300,$R39)="D","; yield Tier D",""),3,300),"")</f>
        <v/>
      </c>
      <c r="I39" s="5" t="str">
        <f aca="false">IFERROR(INDEX(Species!$S$2:$S$300,$R39)&amp;"","")</f>
        <v/>
      </c>
      <c r="J39" s="5" t="str">
        <f aca="false">IFERROR(INDEX(Species!$T$2:$T$300,$R39)&amp;"","")</f>
        <v/>
      </c>
      <c r="K39" s="10" t="n">
        <f aca="false">IFERROR(MEDIAN(0,100*(LOG10(ld_least)-LOG10(INDEX(Species!$G$2:$G$300,$R39)))/(LOG10(ld_least)-LOG10(ld_most)),100),"")</f>
        <v>68.2462802478571</v>
      </c>
      <c r="L39" s="10" t="n">
        <f aca="false">IFERROR(MEDIAN(0,100*(LOG10(INDEX(Species!$L$2:$L$300,$R39))-LOG10(y_min))/(LOG10(y_max)-LOG10(y_min)),100),"")</f>
        <v>52.3419507603251</v>
      </c>
      <c r="M39" s="10" t="n">
        <f aca="false">IFERROR(IF(ISNUMBER(INDEX(Species!$O$2:$O$300,$R39)),ord_floor+(ord_ceil-ord_floor)*(INDEX(Species!$O$2:$O$300,$R39)-1)/9,""),"")</f>
        <v>10</v>
      </c>
      <c r="N39" s="10" t="n">
        <f aca="false">IFERROR(IF(ISNUMBER(INDEX(Species!$P$2:$P$300,$R39)),ord_floor+(ord_ceil-ord_floor)*(INDEX(Species!$P$2:$P$300,$R39)-1)/4,""),"")</f>
        <v>30</v>
      </c>
      <c r="O39" s="10" t="n">
        <f aca="false">IFERROR(IF(ISNUMBER(INDEX(onset_ord,MATCH(INDEX(Species!$Q$2:$Q$300,$R39),onset_labels,0))),ord_floor+(ord_ceil-ord_floor)*(IF(onset_dir="mortality",6-INDEX(onset_ord,MATCH(INDEX(Species!$Q$2:$Q$300,$R39),onset_labels,0)),INDEX(onset_ord,MATCH(INDEX(Species!$Q$2:$Q$300,$R39),onset_labels,0)))-1)/4,""),"")</f>
        <v>50</v>
      </c>
      <c r="P39" s="10" t="n">
        <f aca="false">IFERROR(IF(ISNUMBER(INDEX(access_ord,MATCH(INDEX(Species!$R$2:$R$300,$R39),access_labels,0))),ord_floor+(ord_ceil-ord_floor)*(INDEX(access_ord,MATCH(INDEX(Species!$R$2:$R$300,$R39),access_labels,0))-1)/4,""),"")</f>
        <v>50</v>
      </c>
      <c r="Q39" s="5" t="n">
        <f aca="false">ISNUMBER(M39)*(w_enc&gt;0)+ISNUMBER(N39)*(w_bite&gt;0)+ISNUMBER(O39)*(w_onset&gt;0)+ISNUMBER(P39)*(w_access&gt;0)</f>
        <v>4</v>
      </c>
      <c r="R39" s="11" t="n">
        <f aca="false">IFERROR(MATCH($A39,Species!$A$2:$A$300,0),"")</f>
        <v>64</v>
      </c>
    </row>
    <row r="40" customFormat="false" ht="14.25" hidden="false" customHeight="true" outlineLevel="0" collapsed="false">
      <c r="A40" s="4" t="s">
        <v>56</v>
      </c>
      <c r="B40" s="5" t="str">
        <f aca="false">IFERROR(INDEX(Species!$B$2:$B$300,$R40),"NOT IN SPECIES")</f>
        <v>Western diamondback rattlesnake</v>
      </c>
      <c r="C40" s="6" t="n">
        <f aca="false">IF(w_pot+w_qty&lt;=0,"",IF(AND(OR(w_pot=0,ISNUMBER(K40)),OR(w_qty=0,ISNUMBER(L40))),(w_pot*N(K40)+w_qty*N(L40))/(w_pot*ISNUMBER(K40)+w_qty*ISNUMBER(L40)),IF(ISNUMBER(K40),"needs yield","needs LD50")))</f>
        <v>58.9881911237116</v>
      </c>
      <c r="D40" s="7" t="n">
        <f aca="false">IF(ISNUMBER(C40),RANK(C40,$C$2:$C$300),"")</f>
        <v>40</v>
      </c>
      <c r="E40" s="6" t="n">
        <f aca="false">IF(w_enc+w_bite+w_onset+w_access&lt;=0,"",IF(Q40&lt;min_dims,"insufficient data",(w_enc*N(M40)+w_bite*N(N40)+w_onset*N(O40)+w_access*N(P40))/(w_enc*ISNUMBER(M40)+w_bite*ISNUMBER(N40)+w_onset*ISNUMBER(O40)+w_access*ISNUMBER(P40))))</f>
        <v>54.7863247863248</v>
      </c>
      <c r="F40" s="7" t="n">
        <f aca="false">IF(ISNUMBER(E40),RANK(E40,$E$2:$E$300),"")</f>
        <v>16</v>
      </c>
      <c r="G40" s="8" t="str">
        <f aca="false">IFERROR(IF(OR(INDEX(Species!$I$2:$I$300,$R40)="",INDEX(Species!$M$2:$M$300,$R40)=""),"",CHAR(MAX(CODE(INDEX(Species!$I$2:$I$300,$R40)),CODE(INDEX(Species!$M$2:$M$300,$R40))))),"")</f>
        <v>C</v>
      </c>
      <c r="H40" s="9" t="str">
        <f aca="false">IFERROR(MID(IF(AND(ISNUMBER(INDEX(Species!$J$2:$J$300,$R40)),N(INDEX(Species!$J$2:$J$300,$R40))&gt;1.5),"; LD50 sources differ "&amp;TEXT(INDEX(Species!$J$2:$J$300,$R40),"0.0")&amp;"x","")&amp;IF(AND(INDEX(Species!$H$2:$H$300,$R40)&lt;&gt;"",INDEX(Species!$H$2:$H$300,$R40)&lt;&gt;"SC"),"; LD50 route "&amp;INDEX(Species!$H$2:$H$300,$R40),"")&amp;IF(INDEX(Species!$I$2:$I$300,$R40)="D","; LD50 Tier D","")&amp;IF(AND(ISNUMBER(INDEX(Species!$N$2:$N$300,$R40)),N(INDEX(Species!$N$2:$N$300,$R40))&gt;1.5),"; yield sources differ "&amp;TEXT(INDEX(Species!$N$2:$N$300,$R40),"0.0")&amp;"x","")&amp;IF(INDEX(Species!$M$2:$M$300,$R40)="D","; yield Tier D",""),3,300),"")</f>
        <v/>
      </c>
      <c r="I40" s="5" t="str">
        <f aca="false">IFERROR(INDEX(Species!$S$2:$S$300,$R40)&amp;"","")</f>
        <v/>
      </c>
      <c r="J40" s="5" t="str">
        <f aca="false">IFERROR(INDEX(Species!$T$2:$T$300,$R40)&amp;"","")</f>
        <v/>
      </c>
      <c r="K40" s="10" t="n">
        <f aca="false">IFERROR(MEDIAN(0,100*(LOG10(ld_least)-LOG10(INDEX(Species!$G$2:$G$300,$R40)))/(LOG10(ld_least)-LOG10(ld_most)),100),"")</f>
        <v>26.234857186571</v>
      </c>
      <c r="L40" s="10" t="n">
        <f aca="false">IFERROR(MEDIAN(0,100*(LOG10(INDEX(Species!$L$2:$L$300,$R40))-LOG10(y_min))/(LOG10(y_max)-LOG10(y_min)),100),"")</f>
        <v>91.7415250608522</v>
      </c>
      <c r="M40" s="10" t="n">
        <f aca="false">IFERROR(IF(ISNUMBER(INDEX(Species!$O$2:$O$300,$R40)),ord_floor+(ord_ceil-ord_floor)*(INDEX(Species!$O$2:$O$300,$R40)-1)/9,""),"")</f>
        <v>54.4444444444444</v>
      </c>
      <c r="N40" s="10" t="n">
        <f aca="false">IFERROR(IF(ISNUMBER(INDEX(Species!$P$2:$P$300,$R40)),ord_floor+(ord_ceil-ord_floor)*(INDEX(Species!$P$2:$P$300,$R40)-1)/4,""),"")</f>
        <v>50</v>
      </c>
      <c r="O40" s="10" t="n">
        <f aca="false">IFERROR(IF(ISNUMBER(INDEX(onset_ord,MATCH(INDEX(Species!$Q$2:$Q$300,$R40),onset_labels,0))),ord_floor+(ord_ceil-ord_floor)*(IF(onset_dir="mortality",6-INDEX(onset_ord,MATCH(INDEX(Species!$Q$2:$Q$300,$R40),onset_labels,0)),INDEX(onset_ord,MATCH(INDEX(Species!$Q$2:$Q$300,$R40),onset_labels,0)))-1)/4,""),"")</f>
        <v>90</v>
      </c>
      <c r="P40" s="10" t="n">
        <f aca="false">IFERROR(IF(ISNUMBER(INDEX(access_ord,MATCH(INDEX(Species!$R$2:$R$300,$R40),access_labels,0))),ord_floor+(ord_ceil-ord_floor)*(INDEX(access_ord,MATCH(INDEX(Species!$R$2:$R$300,$R40),access_labels,0))-1)/4,""),"")</f>
        <v>10</v>
      </c>
      <c r="Q40" s="5" t="n">
        <f aca="false">ISNUMBER(M40)*(w_enc&gt;0)+ISNUMBER(N40)*(w_bite&gt;0)+ISNUMBER(O40)*(w_onset&gt;0)+ISNUMBER(P40)*(w_access&gt;0)</f>
        <v>4</v>
      </c>
      <c r="R40" s="11" t="n">
        <f aca="false">IFERROR(MATCH($A40,Species!$A$2:$A$300,0),"")</f>
        <v>24</v>
      </c>
    </row>
    <row r="41" customFormat="false" ht="14.25" hidden="false" customHeight="true" outlineLevel="0" collapsed="false">
      <c r="A41" s="4" t="s">
        <v>57</v>
      </c>
      <c r="B41" s="5" t="str">
        <f aca="false">IFERROR(INDEX(Species!$B$2:$B$300,$R41),"NOT IN SPECIES")</f>
        <v>Mulga snake</v>
      </c>
      <c r="C41" s="6" t="n">
        <f aca="false">IF(w_pot+w_qty&lt;=0,"",IF(AND(OR(w_pot=0,ISNUMBER(K41)),OR(w_qty=0,ISNUMBER(L41))),(w_pot*N(K41)+w_qty*N(L41))/(w_pot*ISNUMBER(K41)+w_qty*ISNUMBER(L41)),IF(ISNUMBER(K41),"needs yield","needs LD50")))</f>
        <v>58.2707562495959</v>
      </c>
      <c r="D41" s="7" t="n">
        <f aca="false">IF(ISNUMBER(C41),RANK(C41,$C$2:$C$300),"")</f>
        <v>41</v>
      </c>
      <c r="E41" s="6" t="n">
        <f aca="false">IF(w_enc+w_bite+w_onset+w_access&lt;=0,"",IF(Q41&lt;min_dims,"insufficient data",(w_enc*N(M41)+w_bite*N(N41)+w_onset*N(O41)+w_access*N(P41))/(w_enc*ISNUMBER(M41)+w_bite*ISNUMBER(N41)+w_onset*ISNUMBER(O41)+w_access*ISNUMBER(P41))))</f>
        <v>45.5555555555556</v>
      </c>
      <c r="F41" s="7" t="n">
        <f aca="false">IF(ISNUMBER(E41),RANK(E41,$E$2:$E$300),"")</f>
        <v>40</v>
      </c>
      <c r="G41" s="8" t="str">
        <f aca="false">IFERROR(IF(OR(INDEX(Species!$I$2:$I$300,$R41)="",INDEX(Species!$M$2:$M$300,$R41)=""),"",CHAR(MAX(CODE(INDEX(Species!$I$2:$I$300,$R41)),CODE(INDEX(Species!$M$2:$M$300,$R41))))),"")</f>
        <v>B</v>
      </c>
      <c r="H41" s="9" t="str">
        <f aca="false">IFERROR(MID(IF(AND(ISNUMBER(INDEX(Species!$J$2:$J$300,$R41)),N(INDEX(Species!$J$2:$J$300,$R41))&gt;1.5),"; LD50 sources differ "&amp;TEXT(INDEX(Species!$J$2:$J$300,$R41),"0.0")&amp;"x","")&amp;IF(AND(INDEX(Species!$H$2:$H$300,$R41)&lt;&gt;"",INDEX(Species!$H$2:$H$300,$R41)&lt;&gt;"SC"),"; LD50 route "&amp;INDEX(Species!$H$2:$H$300,$R41),"")&amp;IF(INDEX(Species!$I$2:$I$300,$R41)="D","; LD50 Tier D","")&amp;IF(AND(ISNUMBER(INDEX(Species!$N$2:$N$300,$R41)),N(INDEX(Species!$N$2:$N$300,$R41))&gt;1.5),"; yield sources differ "&amp;TEXT(INDEX(Species!$N$2:$N$300,$R41),"0.0")&amp;"x","")&amp;IF(INDEX(Species!$M$2:$M$300,$R41)="D","; yield Tier D",""),3,300),"")</f>
        <v/>
      </c>
      <c r="I41" s="5" t="str">
        <f aca="false">IFERROR(INDEX(Species!$S$2:$S$300,$R41)&amp;"","")</f>
        <v/>
      </c>
      <c r="J41" s="5" t="str">
        <f aca="false">IFERROR(INDEX(Species!$T$2:$T$300,$R41)&amp;"","")</f>
        <v/>
      </c>
      <c r="K41" s="10" t="n">
        <f aca="false">IFERROR(MEDIAN(0,100*(LOG10(ld_least)-LOG10(INDEX(Species!$G$2:$G$300,$R41)))/(LOG10(ld_least)-LOG10(ld_most)),100),"")</f>
        <v>24.7999874383396</v>
      </c>
      <c r="L41" s="10" t="n">
        <f aca="false">IFERROR(MEDIAN(0,100*(LOG10(INDEX(Species!$L$2:$L$300,$R41))-LOG10(y_min))/(LOG10(y_max)-LOG10(y_min)),100),"")</f>
        <v>91.7415250608522</v>
      </c>
      <c r="M41" s="10" t="n">
        <f aca="false">IFERROR(IF(ISNUMBER(INDEX(Species!$O$2:$O$300,$R41)),ord_floor+(ord_ceil-ord_floor)*(INDEX(Species!$O$2:$O$300,$R41)-1)/9,""),"")</f>
        <v>54.4444444444444</v>
      </c>
      <c r="N41" s="10" t="n">
        <f aca="false">IFERROR(IF(ISNUMBER(INDEX(Species!$P$2:$P$300,$R41)),ord_floor+(ord_ceil-ord_floor)*(INDEX(Species!$P$2:$P$300,$R41)-1)/4,""),"")</f>
        <v>30</v>
      </c>
      <c r="O41" s="10" t="n">
        <f aca="false">IFERROR(IF(ISNUMBER(INDEX(onset_ord,MATCH(INDEX(Species!$Q$2:$Q$300,$R41),onset_labels,0))),ord_floor+(ord_ceil-ord_floor)*(IF(onset_dir="mortality",6-INDEX(onset_ord,MATCH(INDEX(Species!$Q$2:$Q$300,$R41),onset_labels,0)),INDEX(onset_ord,MATCH(INDEX(Species!$Q$2:$Q$300,$R41),onset_labels,0)))-1)/4,""),"")</f>
        <v>70</v>
      </c>
      <c r="P41" s="10" t="n">
        <f aca="false">IFERROR(IF(ISNUMBER(INDEX(access_ord,MATCH(INDEX(Species!$R$2:$R$300,$R41),access_labels,0))),ord_floor+(ord_ceil-ord_floor)*(INDEX(access_ord,MATCH(INDEX(Species!$R$2:$R$300,$R41),access_labels,0))-1)/4,""),"")</f>
        <v>10</v>
      </c>
      <c r="Q41" s="5" t="n">
        <f aca="false">ISNUMBER(M41)*(w_enc&gt;0)+ISNUMBER(N41)*(w_bite&gt;0)+ISNUMBER(O41)*(w_onset&gt;0)+ISNUMBER(P41)*(w_access&gt;0)</f>
        <v>4</v>
      </c>
      <c r="R41" s="11" t="n">
        <f aca="false">IFERROR(MATCH($A41,Species!$A$2:$A$300,0),"")</f>
        <v>72</v>
      </c>
    </row>
    <row r="42" customFormat="false" ht="14.25" hidden="false" customHeight="true" outlineLevel="0" collapsed="false">
      <c r="A42" s="4" t="s">
        <v>58</v>
      </c>
      <c r="B42" s="5" t="str">
        <f aca="false">IFERROR(INDEX(Species!$B$2:$B$300,$R42),"NOT IN SPECIES")</f>
        <v>Western green mamba</v>
      </c>
      <c r="C42" s="6" t="n">
        <f aca="false">IF(w_pot+w_qty&lt;=0,"",IF(AND(OR(w_pot=0,ISNUMBER(K42)),OR(w_qty=0,ISNUMBER(L42))),(w_pot*N(K42)+w_qty*N(L42))/(w_pot*ISNUMBER(K42)+w_qty*ISNUMBER(L42)),IF(ISNUMBER(K42),"needs yield","needs LD50")))</f>
        <v>57.2651444407749</v>
      </c>
      <c r="D42" s="7" t="n">
        <f aca="false">IF(ISNUMBER(C42),RANK(C42,$C$2:$C$300),"")</f>
        <v>43</v>
      </c>
      <c r="E42" s="6" t="n">
        <f aca="false">IF(w_enc+w_bite+w_onset+w_access&lt;=0,"",IF(Q42&lt;min_dims,"insufficient data",(w_enc*N(M42)+w_bite*N(N42)+w_onset*N(O42)+w_access*N(P42))/(w_enc*ISNUMBER(M42)+w_bite*ISNUMBER(N42)+w_onset*ISNUMBER(O42)+w_access*ISNUMBER(P42))))</f>
        <v>32.5641025641026</v>
      </c>
      <c r="F42" s="7" t="n">
        <f aca="false">IF(ISNUMBER(E42),RANK(E42,$E$2:$E$300),"")</f>
        <v>77</v>
      </c>
      <c r="G42" s="8" t="str">
        <f aca="false">IFERROR(IF(OR(INDEX(Species!$I$2:$I$300,$R42)="",INDEX(Species!$M$2:$M$300,$R42)=""),"",CHAR(MAX(CODE(INDEX(Species!$I$2:$I$300,$R42)),CODE(INDEX(Species!$M$2:$M$300,$R42))))),"")</f>
        <v>C</v>
      </c>
      <c r="H42" s="9" t="str">
        <f aca="false">IFERROR(MID(IF(AND(ISNUMBER(INDEX(Species!$J$2:$J$300,$R42)),N(INDEX(Species!$J$2:$J$300,$R42))&gt;1.5),"; LD50 sources differ "&amp;TEXT(INDEX(Species!$J$2:$J$300,$R42),"0.0")&amp;"x","")&amp;IF(AND(INDEX(Species!$H$2:$H$300,$R42)&lt;&gt;"",INDEX(Species!$H$2:$H$300,$R42)&lt;&gt;"SC"),"; LD50 route "&amp;INDEX(Species!$H$2:$H$300,$R42),"")&amp;IF(INDEX(Species!$I$2:$I$300,$R42)="D","; LD50 Tier D","")&amp;IF(AND(ISNUMBER(INDEX(Species!$N$2:$N$300,$R42)),N(INDEX(Species!$N$2:$N$300,$R42))&gt;1.5),"; yield sources differ "&amp;TEXT(INDEX(Species!$N$2:$N$300,$R42),"0.0")&amp;"x","")&amp;IF(INDEX(Species!$M$2:$M$300,$R42)="D","; yield Tier D",""),3,300),"")</f>
        <v>LD50 route unknown</v>
      </c>
      <c r="I42" s="5" t="str">
        <f aca="false">IFERROR(INDEX(Species!$S$2:$S$300,$R42)&amp;"","")</f>
        <v/>
      </c>
      <c r="J42" s="5" t="str">
        <f aca="false">IFERROR(INDEX(Species!$T$2:$T$300,$R42)&amp;"","")</f>
        <v/>
      </c>
      <c r="K42" s="10" t="n">
        <f aca="false">IFERROR(MEDIAN(0,100*(LOG10(ld_least)-LOG10(INDEX(Species!$G$2:$G$300,$R42)))/(LOG10(ld_least)-LOG10(ld_most)),100),"")</f>
        <v>47.1281730703559</v>
      </c>
      <c r="L42" s="10" t="n">
        <f aca="false">IFERROR(MEDIAN(0,100*(LOG10(INDEX(Species!$L$2:$L$300,$R42))-LOG10(y_min))/(LOG10(y_max)-LOG10(y_min)),100),"")</f>
        <v>67.4021158111939</v>
      </c>
      <c r="M42" s="10" t="n">
        <f aca="false">IFERROR(IF(ISNUMBER(INDEX(Species!$O$2:$O$300,$R42)),ord_floor+(ord_ceil-ord_floor)*(INDEX(Species!$O$2:$O$300,$R42)-1)/9,""),"")</f>
        <v>36.6666666666667</v>
      </c>
      <c r="N42" s="10" t="n">
        <f aca="false">IFERROR(IF(ISNUMBER(INDEX(Species!$P$2:$P$300,$R42)),ord_floor+(ord_ceil-ord_floor)*(INDEX(Species!$P$2:$P$300,$R42)-1)/4,""),"")</f>
        <v>30</v>
      </c>
      <c r="O42" s="10" t="n">
        <f aca="false">IFERROR(IF(ISNUMBER(INDEX(onset_ord,MATCH(INDEX(Species!$Q$2:$Q$300,$R42),onset_labels,0))),ord_floor+(ord_ceil-ord_floor)*(IF(onset_dir="mortality",6-INDEX(onset_ord,MATCH(INDEX(Species!$Q$2:$Q$300,$R42),onset_labels,0)),INDEX(onset_ord,MATCH(INDEX(Species!$Q$2:$Q$300,$R42),onset_labels,0)))-1)/4,""),"")</f>
        <v>30</v>
      </c>
      <c r="P42" s="10" t="n">
        <f aca="false">IFERROR(IF(ISNUMBER(INDEX(access_ord,MATCH(INDEX(Species!$R$2:$R$300,$R42),access_labels,0))),ord_floor+(ord_ceil-ord_floor)*(INDEX(access_ord,MATCH(INDEX(Species!$R$2:$R$300,$R42),access_labels,0))-1)/4,""),"")</f>
        <v>30</v>
      </c>
      <c r="Q42" s="5" t="n">
        <f aca="false">ISNUMBER(M42)*(w_enc&gt;0)+ISNUMBER(N42)*(w_bite&gt;0)+ISNUMBER(O42)*(w_onset&gt;0)+ISNUMBER(P42)*(w_access&gt;0)</f>
        <v>4</v>
      </c>
      <c r="R42" s="11" t="n">
        <f aca="false">IFERROR(MATCH($A42,Species!$A$2:$A$300,0),"")</f>
        <v>77</v>
      </c>
    </row>
    <row r="43" customFormat="false" ht="14.25" hidden="false" customHeight="true" outlineLevel="0" collapsed="false">
      <c r="A43" s="4" t="s">
        <v>59</v>
      </c>
      <c r="B43" s="5" t="str">
        <f aca="false">IFERROR(INDEX(Species!$B$2:$B$300,$R43),"NOT IN SPECIES")</f>
        <v>Ottoman viper</v>
      </c>
      <c r="C43" s="6" t="n">
        <f aca="false">IF(w_pot+w_qty&lt;=0,"",IF(AND(OR(w_pot=0,ISNUMBER(K43)),OR(w_qty=0,ISNUMBER(L43))),(w_pot*N(K43)+w_qty*N(L43))/(w_pot*ISNUMBER(K43)+w_qty*ISNUMBER(L43)),IF(ISNUMBER(K43),"needs yield","needs LD50")))</f>
        <v>57.0466987918189</v>
      </c>
      <c r="D43" s="7" t="n">
        <f aca="false">IF(ISNUMBER(C43),RANK(C43,$C$2:$C$300),"")</f>
        <v>44</v>
      </c>
      <c r="E43" s="6" t="n">
        <f aca="false">IF(w_enc+w_bite+w_onset+w_access&lt;=0,"",IF(Q43&lt;min_dims,"insufficient data",(w_enc*N(M43)+w_bite*N(N43)+w_onset*N(O43)+w_access*N(P43))/(w_enc*ISNUMBER(M43)+w_bite*ISNUMBER(N43)+w_onset*ISNUMBER(O43)+w_access*ISNUMBER(P43))))</f>
        <v>54.4444444444444</v>
      </c>
      <c r="F43" s="7" t="n">
        <f aca="false">IF(ISNUMBER(E43),RANK(E43,$E$2:$E$300),"")</f>
        <v>20</v>
      </c>
      <c r="G43" s="8" t="str">
        <f aca="false">IFERROR(IF(OR(INDEX(Species!$I$2:$I$300,$R43)="",INDEX(Species!$M$2:$M$300,$R43)=""),"",CHAR(MAX(CODE(INDEX(Species!$I$2:$I$300,$R43)),CODE(INDEX(Species!$M$2:$M$300,$R43))))),"")</f>
        <v>C</v>
      </c>
      <c r="H43" s="9" t="str">
        <f aca="false">IFERROR(MID(IF(AND(ISNUMBER(INDEX(Species!$J$2:$J$300,$R43)),N(INDEX(Species!$J$2:$J$300,$R43))&gt;1.5),"; LD50 sources differ "&amp;TEXT(INDEX(Species!$J$2:$J$300,$R43),"0.0")&amp;"x","")&amp;IF(AND(INDEX(Species!$H$2:$H$300,$R43)&lt;&gt;"",INDEX(Species!$H$2:$H$300,$R43)&lt;&gt;"SC"),"; LD50 route "&amp;INDEX(Species!$H$2:$H$300,$R43),"")&amp;IF(INDEX(Species!$I$2:$I$300,$R43)="D","; LD50 Tier D","")&amp;IF(AND(ISNUMBER(INDEX(Species!$N$2:$N$300,$R43)),N(INDEX(Species!$N$2:$N$300,$R43))&gt;1.5),"; yield sources differ "&amp;TEXT(INDEX(Species!$N$2:$N$300,$R43),"0.0")&amp;"x","")&amp;IF(INDEX(Species!$M$2:$M$300,$R43)="D","; yield Tier D",""),3,300),"")</f>
        <v/>
      </c>
      <c r="I43" s="5" t="str">
        <f aca="false">IFERROR(INDEX(Species!$S$2:$S$300,$R43)&amp;"","")</f>
        <v/>
      </c>
      <c r="J43" s="5" t="str">
        <f aca="false">IFERROR(INDEX(Species!$T$2:$T$300,$R43)&amp;"","")</f>
        <v/>
      </c>
      <c r="K43" s="10" t="n">
        <f aca="false">IFERROR(MEDIAN(0,100*(LOG10(ld_least)-LOG10(INDEX(Species!$G$2:$G$300,$R43)))/(LOG10(ld_least)-LOG10(ld_most)),100),"")</f>
        <v>69.9852458556819</v>
      </c>
      <c r="L43" s="10" t="n">
        <f aca="false">IFERROR(MEDIAN(0,100*(LOG10(INDEX(Species!$L$2:$L$300,$R43))-LOG10(y_min))/(LOG10(y_max)-LOG10(y_min)),100),"")</f>
        <v>44.1081517279558</v>
      </c>
      <c r="M43" s="10" t="n">
        <f aca="false">IFERROR(IF(ISNUMBER(INDEX(Species!$O$2:$O$300,$R43)),ord_floor+(ord_ceil-ord_floor)*(INDEX(Species!$O$2:$O$300,$R43)-1)/9,""),"")</f>
        <v>45.5555555555556</v>
      </c>
      <c r="N43" s="10" t="n">
        <f aca="false">IFERROR(IF(ISNUMBER(INDEX(Species!$P$2:$P$300,$R43)),ord_floor+(ord_ceil-ord_floor)*(INDEX(Species!$P$2:$P$300,$R43)-1)/4,""),"")</f>
        <v>50</v>
      </c>
      <c r="O43" s="10" t="n">
        <f aca="false">IFERROR(IF(ISNUMBER(INDEX(onset_ord,MATCH(INDEX(Species!$Q$2:$Q$300,$R43),onset_labels,0))),ord_floor+(ord_ceil-ord_floor)*(IF(onset_dir="mortality",6-INDEX(onset_ord,MATCH(INDEX(Species!$Q$2:$Q$300,$R43),onset_labels,0)),INDEX(onset_ord,MATCH(INDEX(Species!$Q$2:$Q$300,$R43),onset_labels,0)))-1)/4,""),"")</f>
        <v>90</v>
      </c>
      <c r="P43" s="10" t="n">
        <f aca="false">IFERROR(IF(ISNUMBER(INDEX(access_ord,MATCH(INDEX(Species!$R$2:$R$300,$R43),access_labels,0))),ord_floor+(ord_ceil-ord_floor)*(INDEX(access_ord,MATCH(INDEX(Species!$R$2:$R$300,$R43),access_labels,0))-1)/4,""),"")</f>
        <v>30</v>
      </c>
      <c r="Q43" s="5" t="n">
        <f aca="false">ISNUMBER(M43)*(w_enc&gt;0)+ISNUMBER(N43)*(w_bite&gt;0)+ISNUMBER(O43)*(w_onset&gt;0)+ISNUMBER(P43)*(w_access&gt;0)</f>
        <v>4</v>
      </c>
      <c r="R43" s="11" t="n">
        <f aca="false">IFERROR(MATCH($A43,Species!$A$2:$A$300,0),"")</f>
        <v>36</v>
      </c>
    </row>
    <row r="44" customFormat="false" ht="14.25" hidden="false" customHeight="true" outlineLevel="0" collapsed="false">
      <c r="A44" s="4" t="s">
        <v>60</v>
      </c>
      <c r="B44" s="5" t="str">
        <f aca="false">IFERROR(INDEX(Species!$B$2:$B$300,$R44),"NOT IN SPECIES")</f>
        <v>Wagler's pit viper</v>
      </c>
      <c r="C44" s="6" t="n">
        <f aca="false">IF(w_pot+w_qty&lt;=0,"",IF(AND(OR(w_pot=0,ISNUMBER(K44)),OR(w_qty=0,ISNUMBER(L44))),(w_pot*N(K44)+w_qty*N(L44))/(w_pot*ISNUMBER(K44)+w_qty*ISNUMBER(L44)),IF(ISNUMBER(K44),"needs yield","needs LD50")))</f>
        <v>55.9201326220042</v>
      </c>
      <c r="D44" s="7" t="n">
        <f aca="false">IF(ISNUMBER(C44),RANK(C44,$C$2:$C$300),"")</f>
        <v>47</v>
      </c>
      <c r="E44" s="6" t="n">
        <f aca="false">IF(w_enc+w_bite+w_onset+w_access&lt;=0,"",IF(Q44&lt;min_dims,"insufficient data",(w_enc*N(M44)+w_bite*N(N44)+w_onset*N(O44)+w_access*N(P44))/(w_enc*ISNUMBER(M44)+w_bite*ISNUMBER(N44)+w_onset*ISNUMBER(O44)+w_access*ISNUMBER(P44))))</f>
        <v>46.4102564102564</v>
      </c>
      <c r="F44" s="7" t="n">
        <f aca="false">IF(ISNUMBER(E44),RANK(E44,$E$2:$E$300),"")</f>
        <v>37</v>
      </c>
      <c r="G44" s="8" t="str">
        <f aca="false">IFERROR(IF(OR(INDEX(Species!$I$2:$I$300,$R44)="",INDEX(Species!$M$2:$M$300,$R44)=""),"",CHAR(MAX(CODE(INDEX(Species!$I$2:$I$300,$R44)),CODE(INDEX(Species!$M$2:$M$300,$R44))))),"")</f>
        <v>C</v>
      </c>
      <c r="H44" s="9" t="str">
        <f aca="false">IFERROR(MID(IF(AND(ISNUMBER(INDEX(Species!$J$2:$J$300,$R44)),N(INDEX(Species!$J$2:$J$300,$R44))&gt;1.5),"; LD50 sources differ "&amp;TEXT(INDEX(Species!$J$2:$J$300,$R44),"0.0")&amp;"x","")&amp;IF(AND(INDEX(Species!$H$2:$H$300,$R44)&lt;&gt;"",INDEX(Species!$H$2:$H$300,$R44)&lt;&gt;"SC"),"; LD50 route "&amp;INDEX(Species!$H$2:$H$300,$R44),"")&amp;IF(INDEX(Species!$I$2:$I$300,$R44)="D","; LD50 Tier D","")&amp;IF(AND(ISNUMBER(INDEX(Species!$N$2:$N$300,$R44)),N(INDEX(Species!$N$2:$N$300,$R44))&gt;1.5),"; yield sources differ "&amp;TEXT(INDEX(Species!$N$2:$N$300,$R44),"0.0")&amp;"x","")&amp;IF(INDEX(Species!$M$2:$M$300,$R44)="D","; yield Tier D",""),3,300),"")</f>
        <v/>
      </c>
      <c r="I44" s="5" t="str">
        <f aca="false">IFERROR(INDEX(Species!$S$2:$S$300,$R44)&amp;"","")</f>
        <v/>
      </c>
      <c r="J44" s="5" t="str">
        <f aca="false">IFERROR(INDEX(Species!$T$2:$T$300,$R44)&amp;"","")</f>
        <v/>
      </c>
      <c r="K44" s="10" t="n">
        <f aca="false">IFERROR(MEDIAN(0,100*(LOG10(ld_least)-LOG10(INDEX(Species!$G$2:$G$300,$R44)))/(LOG10(ld_least)-LOG10(ld_most)),100),"")</f>
        <v>45.8693754167663</v>
      </c>
      <c r="L44" s="10" t="n">
        <f aca="false">IFERROR(MEDIAN(0,100*(LOG10(INDEX(Species!$L$2:$L$300,$R44))-LOG10(y_min))/(LOG10(y_max)-LOG10(y_min)),100),"")</f>
        <v>65.9708898272422</v>
      </c>
      <c r="M44" s="10" t="n">
        <f aca="false">IFERROR(IF(ISNUMBER(INDEX(Species!$O$2:$O$300,$R44)),ord_floor+(ord_ceil-ord_floor)*(INDEX(Species!$O$2:$O$300,$R44)-1)/9,""),"")</f>
        <v>36.6666666666667</v>
      </c>
      <c r="N44" s="10" t="n">
        <f aca="false">IFERROR(IF(ISNUMBER(INDEX(Species!$P$2:$P$300,$R44)),ord_floor+(ord_ceil-ord_floor)*(INDEX(Species!$P$2:$P$300,$R44)-1)/4,""),"")</f>
        <v>30</v>
      </c>
      <c r="O44" s="10" t="n">
        <f aca="false">IFERROR(IF(ISNUMBER(INDEX(onset_ord,MATCH(INDEX(Species!$Q$2:$Q$300,$R44),onset_labels,0))),ord_floor+(ord_ceil-ord_floor)*(IF(onset_dir="mortality",6-INDEX(onset_ord,MATCH(INDEX(Species!$Q$2:$Q$300,$R44),onset_labels,0)),INDEX(onset_ord,MATCH(INDEX(Species!$Q$2:$Q$300,$R44),onset_labels,0)))-1)/4,""),"")</f>
        <v>90</v>
      </c>
      <c r="P44" s="10" t="n">
        <f aca="false">IFERROR(IF(ISNUMBER(INDEX(access_ord,MATCH(INDEX(Species!$R$2:$R$300,$R44),access_labels,0))),ord_floor+(ord_ceil-ord_floor)*(INDEX(access_ord,MATCH(INDEX(Species!$R$2:$R$300,$R44),access_labels,0))-1)/4,""),"")</f>
        <v>30</v>
      </c>
      <c r="Q44" s="5" t="n">
        <f aca="false">ISNUMBER(M44)*(w_enc&gt;0)+ISNUMBER(N44)*(w_bite&gt;0)+ISNUMBER(O44)*(w_onset&gt;0)+ISNUMBER(P44)*(w_access&gt;0)</f>
        <v>4</v>
      </c>
      <c r="R44" s="11" t="n">
        <f aca="false">IFERROR(MATCH($A44,Species!$A$2:$A$300,0),"")</f>
        <v>31</v>
      </c>
    </row>
    <row r="45" customFormat="false" ht="14.25" hidden="false" customHeight="true" outlineLevel="0" collapsed="false">
      <c r="A45" s="4" t="s">
        <v>61</v>
      </c>
      <c r="B45" s="5" t="str">
        <f aca="false">IFERROR(INDEX(Species!$B$2:$B$300,$R45),"NOT IN SPECIES")</f>
        <v>Elegant sea snake</v>
      </c>
      <c r="C45" s="6" t="n">
        <f aca="false">IF(w_pot+w_qty&lt;=0,"",IF(AND(OR(w_pot=0,ISNUMBER(K45)),OR(w_qty=0,ISNUMBER(L45))),(w_pot*N(K45)+w_qty*N(L45))/(w_pot*ISNUMBER(K45)+w_qty*ISNUMBER(L45)),IF(ISNUMBER(K45),"needs yield","needs LD50")))</f>
        <v>56.262893815273</v>
      </c>
      <c r="D45" s="7" t="n">
        <f aca="false">IF(ISNUMBER(C45),RANK(C45,$C$2:$C$300),"")</f>
        <v>46</v>
      </c>
      <c r="E45" s="6" t="n">
        <f aca="false">IF(w_enc+w_bite+w_onset+w_access&lt;=0,"",IF(Q45&lt;min_dims,"insufficient data",(w_enc*N(M45)+w_bite*N(N45)+w_onset*N(O45)+w_access*N(P45))/(w_enc*ISNUMBER(M45)+w_bite*ISNUMBER(N45)+w_onset*ISNUMBER(O45)+w_access*ISNUMBER(P45))))</f>
        <v>25.3846153846154</v>
      </c>
      <c r="F45" s="7" t="n">
        <f aca="false">IF(ISNUMBER(E45),RANK(E45,$E$2:$E$300),"")</f>
        <v>84</v>
      </c>
      <c r="G45" s="8" t="str">
        <f aca="false">IFERROR(IF(OR(INDEX(Species!$I$2:$I$300,$R45)="",INDEX(Species!$M$2:$M$300,$R45)=""),"",CHAR(MAX(CODE(INDEX(Species!$I$2:$I$300,$R45)),CODE(INDEX(Species!$M$2:$M$300,$R45))))),"")</f>
        <v>C</v>
      </c>
      <c r="H45" s="9" t="str">
        <f aca="false">IFERROR(MID(IF(AND(ISNUMBER(INDEX(Species!$J$2:$J$300,$R45)),N(INDEX(Species!$J$2:$J$300,$R45))&gt;1.5),"; LD50 sources differ "&amp;TEXT(INDEX(Species!$J$2:$J$300,$R45),"0.0")&amp;"x","")&amp;IF(AND(INDEX(Species!$H$2:$H$300,$R45)&lt;&gt;"",INDEX(Species!$H$2:$H$300,$R45)&lt;&gt;"SC"),"; LD50 route "&amp;INDEX(Species!$H$2:$H$300,$R45),"")&amp;IF(INDEX(Species!$I$2:$I$300,$R45)="D","; LD50 Tier D","")&amp;IF(AND(ISNUMBER(INDEX(Species!$N$2:$N$300,$R45)),N(INDEX(Species!$N$2:$N$300,$R45))&gt;1.5),"; yield sources differ "&amp;TEXT(INDEX(Species!$N$2:$N$300,$R45),"0.0")&amp;"x","")&amp;IF(INDEX(Species!$M$2:$M$300,$R45)="D","; yield Tier D",""),3,300),"")</f>
        <v/>
      </c>
      <c r="I45" s="5" t="str">
        <f aca="false">IFERROR(INDEX(Species!$S$2:$S$300,$R45)&amp;"","")</f>
        <v/>
      </c>
      <c r="J45" s="5" t="str">
        <f aca="false">IFERROR(INDEX(Species!$T$2:$T$300,$R45)&amp;"","")</f>
        <v/>
      </c>
      <c r="K45" s="10" t="n">
        <f aca="false">IFERROR(MEDIAN(0,100*(LOG10(ld_least)-LOG10(INDEX(Species!$G$2:$G$300,$R45)))/(LOG10(ld_least)-LOG10(ld_most)),100),"")</f>
        <v>64.5097387682665</v>
      </c>
      <c r="L45" s="10" t="n">
        <f aca="false">IFERROR(MEDIAN(0,100*(LOG10(INDEX(Species!$L$2:$L$300,$R45))-LOG10(y_min))/(LOG10(y_max)-LOG10(y_min)),100),"")</f>
        <v>48.0160488622796</v>
      </c>
      <c r="M45" s="10" t="n">
        <f aca="false">IFERROR(IF(ISNUMBER(INDEX(Species!$O$2:$O$300,$R45)),ord_floor+(ord_ceil-ord_floor)*(INDEX(Species!$O$2:$O$300,$R45)-1)/9,""),"")</f>
        <v>10</v>
      </c>
      <c r="N45" s="10" t="n">
        <f aca="false">IFERROR(IF(ISNUMBER(INDEX(Species!$P$2:$P$300,$R45)),ord_floor+(ord_ceil-ord_floor)*(INDEX(Species!$P$2:$P$300,$R45)-1)/4,""),"")</f>
        <v>10</v>
      </c>
      <c r="O45" s="10" t="n">
        <f aca="false">IFERROR(IF(ISNUMBER(INDEX(onset_ord,MATCH(INDEX(Species!$Q$2:$Q$300,$R45),onset_labels,0))),ord_floor+(ord_ceil-ord_floor)*(IF(onset_dir="mortality",6-INDEX(onset_ord,MATCH(INDEX(Species!$Q$2:$Q$300,$R45),onset_labels,0)),INDEX(onset_ord,MATCH(INDEX(Species!$Q$2:$Q$300,$R45),onset_labels,0)))-1)/4,""),"")</f>
        <v>50</v>
      </c>
      <c r="P45" s="10" t="n">
        <f aca="false">IFERROR(IF(ISNUMBER(INDEX(access_ord,MATCH(INDEX(Species!$R$2:$R$300,$R45),access_labels,0))),ord_floor+(ord_ceil-ord_floor)*(INDEX(access_ord,MATCH(INDEX(Species!$R$2:$R$300,$R45),access_labels,0))-1)/4,""),"")</f>
        <v>50</v>
      </c>
      <c r="Q45" s="5" t="n">
        <f aca="false">ISNUMBER(M45)*(w_enc&gt;0)+ISNUMBER(N45)*(w_bite&gt;0)+ISNUMBER(O45)*(w_onset&gt;0)+ISNUMBER(P45)*(w_access&gt;0)</f>
        <v>4</v>
      </c>
      <c r="R45" s="11" t="n">
        <f aca="false">IFERROR(MATCH($A45,Species!$A$2:$A$300,0),"")</f>
        <v>63</v>
      </c>
    </row>
    <row r="46" customFormat="false" ht="14.25" hidden="false" customHeight="true" outlineLevel="0" collapsed="false">
      <c r="A46" s="4" t="s">
        <v>62</v>
      </c>
      <c r="B46" s="5" t="str">
        <f aca="false">IFERROR(INDEX(Species!$B$2:$B$300,$R46),"NOT IN SPECIES")</f>
        <v>Cantil</v>
      </c>
      <c r="C46" s="6" t="n">
        <f aca="false">IF(w_pot+w_qty&lt;=0,"",IF(AND(OR(w_pot=0,ISNUMBER(K46)),OR(w_qty=0,ISNUMBER(L46))),(w_pot*N(K46)+w_qty*N(L46))/(w_pot*ISNUMBER(K46)+w_qty*ISNUMBER(L46)),IF(ISNUMBER(K46),"needs yield","needs LD50")))</f>
        <v>55.6985961486888</v>
      </c>
      <c r="D46" s="7" t="n">
        <f aca="false">IF(ISNUMBER(C46),RANK(C46,$C$2:$C$300),"")</f>
        <v>48</v>
      </c>
      <c r="E46" s="6" t="n">
        <f aca="false">IF(w_enc+w_bite+w_onset+w_access&lt;=0,"",IF(Q46&lt;min_dims,"insufficient data",(w_enc*N(M46)+w_bite*N(N46)+w_onset*N(O46)+w_access*N(P46))/(w_enc*ISNUMBER(M46)+w_bite*ISNUMBER(N46)+w_onset*ISNUMBER(O46)+w_access*ISNUMBER(P46))))</f>
        <v>57.8632478632479</v>
      </c>
      <c r="F46" s="7" t="n">
        <f aca="false">IF(ISNUMBER(E46),RANK(E46,$E$2:$E$300),"")</f>
        <v>10</v>
      </c>
      <c r="G46" s="8" t="str">
        <f aca="false">IFERROR(IF(OR(INDEX(Species!$I$2:$I$300,$R46)="",INDEX(Species!$M$2:$M$300,$R46)=""),"",CHAR(MAX(CODE(INDEX(Species!$I$2:$I$300,$R46)),CODE(INDEX(Species!$M$2:$M$300,$R46))))),"")</f>
        <v>C</v>
      </c>
      <c r="H46" s="9" t="str">
        <f aca="false">IFERROR(MID(IF(AND(ISNUMBER(INDEX(Species!$J$2:$J$300,$R46)),N(INDEX(Species!$J$2:$J$300,$R46))&gt;1.5),"; LD50 sources differ "&amp;TEXT(INDEX(Species!$J$2:$J$300,$R46),"0.0")&amp;"x","")&amp;IF(AND(INDEX(Species!$H$2:$H$300,$R46)&lt;&gt;"",INDEX(Species!$H$2:$H$300,$R46)&lt;&gt;"SC"),"; LD50 route "&amp;INDEX(Species!$H$2:$H$300,$R46),"")&amp;IF(INDEX(Species!$I$2:$I$300,$R46)="D","; LD50 Tier D","")&amp;IF(AND(ISNUMBER(INDEX(Species!$N$2:$N$300,$R46)),N(INDEX(Species!$N$2:$N$300,$R46))&gt;1.5),"; yield sources differ "&amp;TEXT(INDEX(Species!$N$2:$N$300,$R46),"0.0")&amp;"x","")&amp;IF(INDEX(Species!$M$2:$M$300,$R46)="D","; yield Tier D",""),3,300),"")</f>
        <v/>
      </c>
      <c r="I46" s="5" t="str">
        <f aca="false">IFERROR(INDEX(Species!$S$2:$S$300,$R46)&amp;"","")</f>
        <v/>
      </c>
      <c r="J46" s="5" t="str">
        <f aca="false">IFERROR(INDEX(Species!$T$2:$T$300,$R46)&amp;"","")</f>
        <v/>
      </c>
      <c r="K46" s="10" t="n">
        <f aca="false">IFERROR(MEDIAN(0,100*(LOG10(ld_least)-LOG10(INDEX(Species!$G$2:$G$300,$R46)))/(LOG10(ld_least)-LOG10(ld_most)),100),"")</f>
        <v>44.6918488517287</v>
      </c>
      <c r="L46" s="10" t="n">
        <f aca="false">IFERROR(MEDIAN(0,100*(LOG10(INDEX(Species!$L$2:$L$300,$R46))-LOG10(y_min))/(LOG10(y_max)-LOG10(y_min)),100),"")</f>
        <v>66.7053434456489</v>
      </c>
      <c r="M46" s="10" t="n">
        <f aca="false">IFERROR(IF(ISNUMBER(INDEX(Species!$O$2:$O$300,$R46)),ord_floor+(ord_ceil-ord_floor)*(INDEX(Species!$O$2:$O$300,$R46)-1)/9,""),"")</f>
        <v>54.4444444444444</v>
      </c>
      <c r="N46" s="10" t="n">
        <f aca="false">IFERROR(IF(ISNUMBER(INDEX(Species!$P$2:$P$300,$R46)),ord_floor+(ord_ceil-ord_floor)*(INDEX(Species!$P$2:$P$300,$R46)-1)/4,""),"")</f>
        <v>70</v>
      </c>
      <c r="O46" s="10" t="n">
        <f aca="false">IFERROR(IF(ISNUMBER(INDEX(onset_ord,MATCH(INDEX(Species!$Q$2:$Q$300,$R46),onset_labels,0))),ord_floor+(ord_ceil-ord_floor)*(IF(onset_dir="mortality",6-INDEX(onset_ord,MATCH(INDEX(Species!$Q$2:$Q$300,$R46),onset_labels,0)),INDEX(onset_ord,MATCH(INDEX(Species!$Q$2:$Q$300,$R46),onset_labels,0)))-1)/4,""),"")</f>
        <v>70</v>
      </c>
      <c r="P46" s="10" t="n">
        <f aca="false">IFERROR(IF(ISNUMBER(INDEX(access_ord,MATCH(INDEX(Species!$R$2:$R$300,$R46),access_labels,0))),ord_floor+(ord_ceil-ord_floor)*(INDEX(access_ord,MATCH(INDEX(Species!$R$2:$R$300,$R46),access_labels,0))-1)/4,""),"")</f>
        <v>30</v>
      </c>
      <c r="Q46" s="5" t="n">
        <f aca="false">ISNUMBER(M46)*(w_enc&gt;0)+ISNUMBER(N46)*(w_bite&gt;0)+ISNUMBER(O46)*(w_onset&gt;0)+ISNUMBER(P46)*(w_access&gt;0)</f>
        <v>4</v>
      </c>
      <c r="R46" s="11" t="n">
        <f aca="false">IFERROR(MATCH($A46,Species!$A$2:$A$300,0),"")</f>
        <v>32</v>
      </c>
    </row>
    <row r="47" customFormat="false" ht="14.25" hidden="false" customHeight="true" outlineLevel="0" collapsed="false">
      <c r="A47" s="4" t="s">
        <v>63</v>
      </c>
      <c r="B47" s="5" t="str">
        <f aca="false">IFERROR(INDEX(Species!$B$2:$B$300,$R47),"NOT IN SPECIES")</f>
        <v>Yellow-bellied sea snake</v>
      </c>
      <c r="C47" s="6" t="n">
        <f aca="false">IF(w_pot+w_qty&lt;=0,"",IF(AND(OR(w_pot=0,ISNUMBER(K47)),OR(w_qty=0,ISNUMBER(L47))),(w_pot*N(K47)+w_qty*N(L47))/(w_pot*ISNUMBER(K47)+w_qty*ISNUMBER(L47)),IF(ISNUMBER(K47),"needs yield","needs LD50")))</f>
        <v>56.4081178721317</v>
      </c>
      <c r="D47" s="7" t="n">
        <f aca="false">IF(ISNUMBER(C47),RANK(C47,$C$2:$C$300),"")</f>
        <v>45</v>
      </c>
      <c r="E47" s="6" t="n">
        <f aca="false">IF(w_enc+w_bite+w_onset+w_access&lt;=0,"",IF(Q47&lt;min_dims,"insufficient data",(w_enc*N(M47)+w_bite*N(N47)+w_onset*N(O47)+w_access*N(P47))/(w_enc*ISNUMBER(M47)+w_bite*ISNUMBER(N47)+w_onset*ISNUMBER(O47)+w_access*ISNUMBER(P47))))</f>
        <v>25.3846153846154</v>
      </c>
      <c r="F47" s="7" t="n">
        <f aca="false">IF(ISNUMBER(E47),RANK(E47,$E$2:$E$300),"")</f>
        <v>84</v>
      </c>
      <c r="G47" s="8" t="str">
        <f aca="false">IFERROR(IF(OR(INDEX(Species!$I$2:$I$300,$R47)="",INDEX(Species!$M$2:$M$300,$R47)=""),"",CHAR(MAX(CODE(INDEX(Species!$I$2:$I$300,$R47)),CODE(INDEX(Species!$M$2:$M$300,$R47))))),"")</f>
        <v>C</v>
      </c>
      <c r="H47" s="9" t="str">
        <f aca="false">IFERROR(MID(IF(AND(ISNUMBER(INDEX(Species!$J$2:$J$300,$R47)),N(INDEX(Species!$J$2:$J$300,$R47))&gt;1.5),"; LD50 sources differ "&amp;TEXT(INDEX(Species!$J$2:$J$300,$R47),"0.0")&amp;"x","")&amp;IF(AND(INDEX(Species!$H$2:$H$300,$R47)&lt;&gt;"",INDEX(Species!$H$2:$H$300,$R47)&lt;&gt;"SC"),"; LD50 route "&amp;INDEX(Species!$H$2:$H$300,$R47),"")&amp;IF(INDEX(Species!$I$2:$I$300,$R47)="D","; LD50 Tier D","")&amp;IF(AND(ISNUMBER(INDEX(Species!$N$2:$N$300,$R47)),N(INDEX(Species!$N$2:$N$300,$R47))&gt;1.5),"; yield sources differ "&amp;TEXT(INDEX(Species!$N$2:$N$300,$R47),"0.0")&amp;"x","")&amp;IF(INDEX(Species!$M$2:$M$300,$R47)="D","; yield Tier D",""),3,300),"")</f>
        <v/>
      </c>
      <c r="I47" s="5" t="str">
        <f aca="false">IFERROR(INDEX(Species!$S$2:$S$300,$R47)&amp;"","")</f>
        <v/>
      </c>
      <c r="J47" s="5" t="str">
        <f aca="false">IFERROR(INDEX(Species!$T$2:$T$300,$R47)&amp;"","")</f>
        <v/>
      </c>
      <c r="K47" s="10" t="n">
        <f aca="false">IFERROR(MEDIAN(0,100*(LOG10(ld_least)-LOG10(INDEX(Species!$G$2:$G$300,$R47)))/(LOG10(ld_least)-LOG10(ld_most)),100),"")</f>
        <v>89.139596131642</v>
      </c>
      <c r="L47" s="10" t="n">
        <f aca="false">IFERROR(MEDIAN(0,100*(LOG10(INDEX(Species!$L$2:$L$300,$R47))-LOG10(y_min))/(LOG10(y_max)-LOG10(y_min)),100),"")</f>
        <v>23.6766396126213</v>
      </c>
      <c r="M47" s="10" t="n">
        <f aca="false">IFERROR(IF(ISNUMBER(INDEX(Species!$O$2:$O$300,$R47)),ord_floor+(ord_ceil-ord_floor)*(INDEX(Species!$O$2:$O$300,$R47)-1)/9,""),"")</f>
        <v>10</v>
      </c>
      <c r="N47" s="10" t="n">
        <f aca="false">IFERROR(IF(ISNUMBER(INDEX(Species!$P$2:$P$300,$R47)),ord_floor+(ord_ceil-ord_floor)*(INDEX(Species!$P$2:$P$300,$R47)-1)/4,""),"")</f>
        <v>10</v>
      </c>
      <c r="O47" s="10" t="n">
        <f aca="false">IFERROR(IF(ISNUMBER(INDEX(onset_ord,MATCH(INDEX(Species!$Q$2:$Q$300,$R47),onset_labels,0))),ord_floor+(ord_ceil-ord_floor)*(IF(onset_dir="mortality",6-INDEX(onset_ord,MATCH(INDEX(Species!$Q$2:$Q$300,$R47),onset_labels,0)),INDEX(onset_ord,MATCH(INDEX(Species!$Q$2:$Q$300,$R47),onset_labels,0)))-1)/4,""),"")</f>
        <v>50</v>
      </c>
      <c r="P47" s="10" t="n">
        <f aca="false">IFERROR(IF(ISNUMBER(INDEX(access_ord,MATCH(INDEX(Species!$R$2:$R$300,$R47),access_labels,0))),ord_floor+(ord_ceil-ord_floor)*(INDEX(access_ord,MATCH(INDEX(Species!$R$2:$R$300,$R47),access_labels,0))-1)/4,""),"")</f>
        <v>50</v>
      </c>
      <c r="Q47" s="5" t="n">
        <f aca="false">ISNUMBER(M47)*(w_enc&gt;0)+ISNUMBER(N47)*(w_bite&gt;0)+ISNUMBER(O47)*(w_onset&gt;0)+ISNUMBER(P47)*(w_access&gt;0)</f>
        <v>4</v>
      </c>
      <c r="R47" s="11" t="n">
        <f aca="false">IFERROR(MATCH($A47,Species!$A$2:$A$300,0),"")</f>
        <v>39</v>
      </c>
    </row>
    <row r="48" customFormat="false" ht="14.25" hidden="false" customHeight="true" outlineLevel="0" collapsed="false">
      <c r="A48" s="4" t="s">
        <v>64</v>
      </c>
      <c r="B48" s="5" t="str">
        <f aca="false">IFERROR(INDEX(Species!$B$2:$B$300,$R48),"NOT IN SPECIES")</f>
        <v>Timber rattlesnake</v>
      </c>
      <c r="C48" s="6" t="n">
        <f aca="false">IF(w_pot+w_qty&lt;=0,"",IF(AND(OR(w_pot=0,ISNUMBER(K48)),OR(w_qty=0,ISNUMBER(L48))),(w_pot*N(K48)+w_qty*N(L48))/(w_pot*ISNUMBER(K48)+w_qty*ISNUMBER(L48)),IF(ISNUMBER(K48),"needs yield","needs LD50")))</f>
        <v>54.5376398734088</v>
      </c>
      <c r="D48" s="7" t="n">
        <f aca="false">IF(ISNUMBER(C48),RANK(C48,$C$2:$C$300),"")</f>
        <v>52</v>
      </c>
      <c r="E48" s="6" t="n">
        <f aca="false">IF(w_enc+w_bite+w_onset+w_access&lt;=0,"",IF(Q48&lt;min_dims,"insufficient data",(w_enc*N(M48)+w_bite*N(N48)+w_onset*N(O48)+w_access*N(P48))/(w_enc*ISNUMBER(M48)+w_bite*ISNUMBER(N48)+w_onset*ISNUMBER(O48)+w_access*ISNUMBER(P48))))</f>
        <v>39.9145299145299</v>
      </c>
      <c r="F48" s="7" t="n">
        <f aca="false">IF(ISNUMBER(E48),RANK(E48,$E$2:$E$300),"")</f>
        <v>56</v>
      </c>
      <c r="G48" s="8" t="str">
        <f aca="false">IFERROR(IF(OR(INDEX(Species!$I$2:$I$300,$R48)="",INDEX(Species!$M$2:$M$300,$R48)=""),"",CHAR(MAX(CODE(INDEX(Species!$I$2:$I$300,$R48)),CODE(INDEX(Species!$M$2:$M$300,$R48))))),"")</f>
        <v>C</v>
      </c>
      <c r="H48" s="9" t="str">
        <f aca="false">IFERROR(MID(IF(AND(ISNUMBER(INDEX(Species!$J$2:$J$300,$R48)),N(INDEX(Species!$J$2:$J$300,$R48))&gt;1.5),"; LD50 sources differ "&amp;TEXT(INDEX(Species!$J$2:$J$300,$R48),"0.0")&amp;"x","")&amp;IF(AND(INDEX(Species!$H$2:$H$300,$R48)&lt;&gt;"",INDEX(Species!$H$2:$H$300,$R48)&lt;&gt;"SC"),"; LD50 route "&amp;INDEX(Species!$H$2:$H$300,$R48),"")&amp;IF(INDEX(Species!$I$2:$I$300,$R48)="D","; LD50 Tier D","")&amp;IF(AND(ISNUMBER(INDEX(Species!$N$2:$N$300,$R48)),N(INDEX(Species!$N$2:$N$300,$R48))&gt;1.5),"; yield sources differ "&amp;TEXT(INDEX(Species!$N$2:$N$300,$R48),"0.0")&amp;"x","")&amp;IF(INDEX(Species!$M$2:$M$300,$R48)="D","; yield Tier D",""),3,300),"")</f>
        <v/>
      </c>
      <c r="I48" s="5" t="str">
        <f aca="false">IFERROR(INDEX(Species!$S$2:$S$300,$R48)&amp;"","")</f>
        <v/>
      </c>
      <c r="J48" s="5" t="str">
        <f aca="false">IFERROR(INDEX(Species!$T$2:$T$300,$R48)&amp;"","")</f>
        <v/>
      </c>
      <c r="K48" s="10" t="n">
        <f aca="false">IFERROR(MEDIAN(0,100*(LOG10(ld_least)-LOG10(INDEX(Species!$G$2:$G$300,$R48)))/(LOG10(ld_least)-LOG10(ld_most)),100),"")</f>
        <v>31.594625503926</v>
      </c>
      <c r="L48" s="10" t="n">
        <f aca="false">IFERROR(MEDIAN(0,100*(LOG10(INDEX(Species!$L$2:$L$300,$R48))-LOG10(y_min))/(LOG10(y_max)-LOG10(y_min)),100),"")</f>
        <v>77.4806542428916</v>
      </c>
      <c r="M48" s="10" t="n">
        <f aca="false">IFERROR(IF(ISNUMBER(INDEX(Species!$O$2:$O$300,$R48)),ord_floor+(ord_ceil-ord_floor)*(INDEX(Species!$O$2:$O$300,$R48)-1)/9,""),"")</f>
        <v>27.7777777777778</v>
      </c>
      <c r="N48" s="10" t="n">
        <f aca="false">IFERROR(IF(ISNUMBER(INDEX(Species!$P$2:$P$300,$R48)),ord_floor+(ord_ceil-ord_floor)*(INDEX(Species!$P$2:$P$300,$R48)-1)/4,""),"")</f>
        <v>30</v>
      </c>
      <c r="O48" s="10" t="n">
        <f aca="false">IFERROR(IF(ISNUMBER(INDEX(onset_ord,MATCH(INDEX(Species!$Q$2:$Q$300,$R48),onset_labels,0))),ord_floor+(ord_ceil-ord_floor)*(IF(onset_dir="mortality",6-INDEX(onset_ord,MATCH(INDEX(Species!$Q$2:$Q$300,$R48),onset_labels,0)),INDEX(onset_ord,MATCH(INDEX(Species!$Q$2:$Q$300,$R48),onset_labels,0)))-1)/4,""),"")</f>
        <v>90</v>
      </c>
      <c r="P48" s="10" t="n">
        <f aca="false">IFERROR(IF(ISNUMBER(INDEX(access_ord,MATCH(INDEX(Species!$R$2:$R$300,$R48),access_labels,0))),ord_floor+(ord_ceil-ord_floor)*(INDEX(access_ord,MATCH(INDEX(Species!$R$2:$R$300,$R48),access_labels,0))-1)/4,""),"")</f>
        <v>10</v>
      </c>
      <c r="Q48" s="5" t="n">
        <f aca="false">ISNUMBER(M48)*(w_enc&gt;0)+ISNUMBER(N48)*(w_bite&gt;0)+ISNUMBER(O48)*(w_onset&gt;0)+ISNUMBER(P48)*(w_access&gt;0)</f>
        <v>4</v>
      </c>
      <c r="R48" s="11" t="n">
        <f aca="false">IFERROR(MATCH($A48,Species!$A$2:$A$300,0),"")</f>
        <v>30</v>
      </c>
    </row>
    <row r="49" customFormat="false" ht="14.25" hidden="false" customHeight="true" outlineLevel="0" collapsed="false">
      <c r="A49" s="4" t="s">
        <v>65</v>
      </c>
      <c r="B49" s="5" t="str">
        <f aca="false">IFERROR(INDEX(Species!$B$2:$B$300,$R49),"NOT IN SPECIES")</f>
        <v>Black-banded sea krait</v>
      </c>
      <c r="C49" s="6" t="n">
        <f aca="false">IF(w_pot+w_qty&lt;=0,"",IF(AND(OR(w_pot=0,ISNUMBER(K49)),OR(w_qty=0,ISNUMBER(L49))),(w_pot*N(K49)+w_qty*N(L49))/(w_pot*ISNUMBER(K49)+w_qty*ISNUMBER(L49)),IF(ISNUMBER(K49),"needs yield","needs LD50")))</f>
        <v>54.8946644683451</v>
      </c>
      <c r="D49" s="7" t="n">
        <f aca="false">IF(ISNUMBER(C49),RANK(C49,$C$2:$C$300),"")</f>
        <v>50</v>
      </c>
      <c r="E49" s="6" t="n">
        <f aca="false">IF(w_enc+w_bite+w_onset+w_access&lt;=0,"",IF(Q49&lt;min_dims,"insufficient data",(w_enc*N(M49)+w_bite*N(N49)+w_onset*N(O49)+w_access*N(P49))/(w_enc*ISNUMBER(M49)+w_bite*ISNUMBER(N49)+w_onset*ISNUMBER(O49)+w_access*ISNUMBER(P49))))</f>
        <v>33.4188034188034</v>
      </c>
      <c r="F49" s="7" t="n">
        <f aca="false">IF(ISNUMBER(E49),RANK(E49,$E$2:$E$300),"")</f>
        <v>74</v>
      </c>
      <c r="G49" s="8" t="str">
        <f aca="false">IFERROR(IF(OR(INDEX(Species!$I$2:$I$300,$R49)="",INDEX(Species!$M$2:$M$300,$R49)=""),"",CHAR(MAX(CODE(INDEX(Species!$I$2:$I$300,$R49)),CODE(INDEX(Species!$M$2:$M$300,$R49))))),"")</f>
        <v>C</v>
      </c>
      <c r="H49" s="9" t="str">
        <f aca="false">IFERROR(MID(IF(AND(ISNUMBER(INDEX(Species!$J$2:$J$300,$R49)),N(INDEX(Species!$J$2:$J$300,$R49))&gt;1.5),"; LD50 sources differ "&amp;TEXT(INDEX(Species!$J$2:$J$300,$R49),"0.0")&amp;"x","")&amp;IF(AND(INDEX(Species!$H$2:$H$300,$R49)&lt;&gt;"",INDEX(Species!$H$2:$H$300,$R49)&lt;&gt;"SC"),"; LD50 route "&amp;INDEX(Species!$H$2:$H$300,$R49),"")&amp;IF(INDEX(Species!$I$2:$I$300,$R49)="D","; LD50 Tier D","")&amp;IF(AND(ISNUMBER(INDEX(Species!$N$2:$N$300,$R49)),N(INDEX(Species!$N$2:$N$300,$R49))&gt;1.5),"; yield sources differ "&amp;TEXT(INDEX(Species!$N$2:$N$300,$R49),"0.0")&amp;"x","")&amp;IF(INDEX(Species!$M$2:$M$300,$R49)="D","; yield Tier D",""),3,300),"")</f>
        <v>LD50 sources differ 1.9x</v>
      </c>
      <c r="I49" s="5" t="str">
        <f aca="false">IFERROR(INDEX(Species!$S$2:$S$300,$R49)&amp;"","")</f>
        <v/>
      </c>
      <c r="J49" s="5" t="str">
        <f aca="false">IFERROR(INDEX(Species!$T$2:$T$300,$R49)&amp;"","")</f>
        <v/>
      </c>
      <c r="K49" s="10" t="n">
        <f aca="false">IFERROR(MEDIAN(0,100*(LOG10(ld_least)-LOG10(INDEX(Species!$G$2:$G$300,$R49)))/(LOG10(ld_least)-LOG10(ld_most)),100),"")</f>
        <v>69.0950532480826</v>
      </c>
      <c r="L49" s="10" t="n">
        <f aca="false">IFERROR(MEDIAN(0,100*(LOG10(INDEX(Species!$L$2:$L$300,$R49))-LOG10(y_min))/(LOG10(y_max)-LOG10(y_min)),100),"")</f>
        <v>40.6942756886077</v>
      </c>
      <c r="M49" s="10" t="n">
        <f aca="false">IFERROR(IF(ISNUMBER(INDEX(Species!$O$2:$O$300,$R49)),ord_floor+(ord_ceil-ord_floor)*(INDEX(Species!$O$2:$O$300,$R49)-1)/9,""),"")</f>
        <v>18.8888888888889</v>
      </c>
      <c r="N49" s="10" t="n">
        <f aca="false">IFERROR(IF(ISNUMBER(INDEX(Species!$P$2:$P$300,$R49)),ord_floor+(ord_ceil-ord_floor)*(INDEX(Species!$P$2:$P$300,$R49)-1)/4,""),"")</f>
        <v>30</v>
      </c>
      <c r="O49" s="10" t="n">
        <f aca="false">IFERROR(IF(ISNUMBER(INDEX(onset_ord,MATCH(INDEX(Species!$Q$2:$Q$300,$R49),onset_labels,0))),ord_floor+(ord_ceil-ord_floor)*(IF(onset_dir="mortality",6-INDEX(onset_ord,MATCH(INDEX(Species!$Q$2:$Q$300,$R49),onset_labels,0)),INDEX(onset_ord,MATCH(INDEX(Species!$Q$2:$Q$300,$R49),onset_labels,0)))-1)/4,""),"")</f>
        <v>50</v>
      </c>
      <c r="P49" s="10" t="n">
        <f aca="false">IFERROR(IF(ISNUMBER(INDEX(access_ord,MATCH(INDEX(Species!$R$2:$R$300,$R49),access_labels,0))),ord_floor+(ord_ceil-ord_floor)*(INDEX(access_ord,MATCH(INDEX(Species!$R$2:$R$300,$R49),access_labels,0))-1)/4,""),"")</f>
        <v>50</v>
      </c>
      <c r="Q49" s="5" t="n">
        <f aca="false">ISNUMBER(M49)*(w_enc&gt;0)+ISNUMBER(N49)*(w_bite&gt;0)+ISNUMBER(O49)*(w_onset&gt;0)+ISNUMBER(P49)*(w_access&gt;0)</f>
        <v>4</v>
      </c>
      <c r="R49" s="11" t="n">
        <f aca="false">IFERROR(MATCH($A49,Species!$A$2:$A$300,0),"")</f>
        <v>81</v>
      </c>
    </row>
    <row r="50" customFormat="false" ht="14.25" hidden="false" customHeight="true" outlineLevel="0" collapsed="false">
      <c r="A50" s="4" t="s">
        <v>66</v>
      </c>
      <c r="B50" s="5" t="str">
        <f aca="false">IFERROR(INDEX(Species!$B$2:$B$300,$R50),"NOT IN SPECIES")</f>
        <v>Malayan krait</v>
      </c>
      <c r="C50" s="6" t="n">
        <f aca="false">IF(w_pot+w_qty&lt;=0,"",IF(AND(OR(w_pot=0,ISNUMBER(K50)),OR(w_qty=0,ISNUMBER(L50))),(w_pot*N(K50)+w_qty*N(L50))/(w_pot*ISNUMBER(K50)+w_qty*ISNUMBER(L50)),IF(ISNUMBER(K50),"needs yield","needs LD50")))</f>
        <v>54.6698922401224</v>
      </c>
      <c r="D50" s="7" t="n">
        <f aca="false">IF(ISNUMBER(C50),RANK(C50,$C$2:$C$300),"")</f>
        <v>51</v>
      </c>
      <c r="E50" s="6" t="n">
        <f aca="false">IF(w_enc+w_bite+w_onset+w_access&lt;=0,"",IF(Q50&lt;min_dims,"insufficient data",(w_enc*N(M50)+w_bite*N(N50)+w_onset*N(O50)+w_access*N(P50))/(w_enc*ISNUMBER(M50)+w_bite*ISNUMBER(N50)+w_onset*ISNUMBER(O50)+w_access*ISNUMBER(P50))))</f>
        <v>47.4358974358974</v>
      </c>
      <c r="F50" s="7" t="n">
        <f aca="false">IF(ISNUMBER(E50),RANK(E50,$E$2:$E$300),"")</f>
        <v>32</v>
      </c>
      <c r="G50" s="8" t="str">
        <f aca="false">IFERROR(IF(OR(INDEX(Species!$I$2:$I$300,$R50)="",INDEX(Species!$M$2:$M$300,$R50)=""),"",CHAR(MAX(CODE(INDEX(Species!$I$2:$I$300,$R50)),CODE(INDEX(Species!$M$2:$M$300,$R50))))),"")</f>
        <v>C</v>
      </c>
      <c r="H50" s="9" t="str">
        <f aca="false">IFERROR(MID(IF(AND(ISNUMBER(INDEX(Species!$J$2:$J$300,$R50)),N(INDEX(Species!$J$2:$J$300,$R50))&gt;1.5),"; LD50 sources differ "&amp;TEXT(INDEX(Species!$J$2:$J$300,$R50),"0.0")&amp;"x","")&amp;IF(AND(INDEX(Species!$H$2:$H$300,$R50)&lt;&gt;"",INDEX(Species!$H$2:$H$300,$R50)&lt;&gt;"SC"),"; LD50 route "&amp;INDEX(Species!$H$2:$H$300,$R50),"")&amp;IF(INDEX(Species!$I$2:$I$300,$R50)="D","; LD50 Tier D","")&amp;IF(AND(ISNUMBER(INDEX(Species!$N$2:$N$300,$R50)),N(INDEX(Species!$N$2:$N$300,$R50))&gt;1.5),"; yield sources differ "&amp;TEXT(INDEX(Species!$N$2:$N$300,$R50),"0.0")&amp;"x","")&amp;IF(INDEX(Species!$M$2:$M$300,$R50)="D","; yield Tier D",""),3,300),"")</f>
        <v>LD50 route IV</v>
      </c>
      <c r="I50" s="5" t="str">
        <f aca="false">IFERROR(INDEX(Species!$S$2:$S$300,$R50)&amp;"","")</f>
        <v/>
      </c>
      <c r="J50" s="5" t="str">
        <f aca="false">IFERROR(INDEX(Species!$T$2:$T$300,$R50)&amp;"","")</f>
        <v>7.4% (Thailand, poison centre cases) [treatment unclear]</v>
      </c>
      <c r="K50" s="10" t="n">
        <f aca="false">IFERROR(MEDIAN(0,100*(LOG10(ld_least)-LOG10(INDEX(Species!$G$2:$G$300,$R50)))/(LOG10(ld_least)-LOG10(ld_most)),100),"")</f>
        <v>82.6319443576585</v>
      </c>
      <c r="L50" s="10" t="n">
        <f aca="false">IFERROR(MEDIAN(0,100*(LOG10(INDEX(Species!$L$2:$L$300,$R50))-LOG10(y_min))/(LOG10(y_max)-LOG10(y_min)),100),"")</f>
        <v>26.7078401225863</v>
      </c>
      <c r="M50" s="10" t="n">
        <f aca="false">IFERROR(IF(ISNUMBER(INDEX(Species!$O$2:$O$300,$R50)),ord_floor+(ord_ceil-ord_floor)*(INDEX(Species!$O$2:$O$300,$R50)-1)/9,""),"")</f>
        <v>63.3333333333333</v>
      </c>
      <c r="N50" s="10" t="n">
        <f aca="false">IFERROR(IF(ISNUMBER(INDEX(Species!$P$2:$P$300,$R50)),ord_floor+(ord_ceil-ord_floor)*(INDEX(Species!$P$2:$P$300,$R50)-1)/4,""),"")</f>
        <v>50</v>
      </c>
      <c r="O50" s="10" t="n">
        <f aca="false">IFERROR(IF(ISNUMBER(INDEX(onset_ord,MATCH(INDEX(Species!$Q$2:$Q$300,$R50),onset_labels,0))),ord_floor+(ord_ceil-ord_floor)*(IF(onset_dir="mortality",6-INDEX(onset_ord,MATCH(INDEX(Species!$Q$2:$Q$300,$R50),onset_labels,0)),INDEX(onset_ord,MATCH(INDEX(Species!$Q$2:$Q$300,$R50),onset_labels,0)))-1)/4,""),"")</f>
        <v>30</v>
      </c>
      <c r="P50" s="10" t="n">
        <f aca="false">IFERROR(IF(ISNUMBER(INDEX(access_ord,MATCH(INDEX(Species!$R$2:$R$300,$R50),access_labels,0))),ord_floor+(ord_ceil-ord_floor)*(INDEX(access_ord,MATCH(INDEX(Species!$R$2:$R$300,$R50),access_labels,0))-1)/4,""),"")</f>
        <v>30</v>
      </c>
      <c r="Q50" s="5" t="n">
        <f aca="false">ISNUMBER(M50)*(w_enc&gt;0)+ISNUMBER(N50)*(w_bite&gt;0)+ISNUMBER(O50)*(w_onset&gt;0)+ISNUMBER(P50)*(w_access&gt;0)</f>
        <v>4</v>
      </c>
      <c r="R50" s="11" t="n">
        <f aca="false">IFERROR(MATCH($A50,Species!$A$2:$A$300,0),"")</f>
        <v>51</v>
      </c>
    </row>
    <row r="51" customFormat="false" ht="14.25" hidden="false" customHeight="true" outlineLevel="0" collapsed="false">
      <c r="A51" s="4" t="s">
        <v>67</v>
      </c>
      <c r="B51" s="5" t="str">
        <f aca="false">IFERROR(INDEX(Species!$B$2:$B$300,$R51),"NOT IN SPECIES")</f>
        <v>Banded krait</v>
      </c>
      <c r="C51" s="6" t="n">
        <f aca="false">IF(w_pot+w_qty&lt;=0,"",IF(AND(OR(w_pot=0,ISNUMBER(K51)),OR(w_qty=0,ISNUMBER(L51))),(w_pot*N(K51)+w_qty*N(L51))/(w_pot*ISNUMBER(K51)+w_qty*ISNUMBER(L51)),IF(ISNUMBER(K51),"needs yield","needs LD50")))</f>
        <v>53.2380095330834</v>
      </c>
      <c r="D51" s="7" t="n">
        <f aca="false">IF(ISNUMBER(C51),RANK(C51,$C$2:$C$300),"")</f>
        <v>55</v>
      </c>
      <c r="E51" s="6" t="n">
        <f aca="false">IF(w_enc+w_bite+w_onset+w_access&lt;=0,"",IF(Q51&lt;min_dims,"insufficient data",(w_enc*N(M51)+w_bite*N(N51)+w_onset*N(O51)+w_access*N(P51))/(w_enc*ISNUMBER(M51)+w_bite*ISNUMBER(N51)+w_onset*ISNUMBER(O51)+w_access*ISNUMBER(P51))))</f>
        <v>39.4017094017094</v>
      </c>
      <c r="F51" s="7" t="n">
        <f aca="false">IF(ISNUMBER(E51),RANK(E51,$E$2:$E$300),"")</f>
        <v>59</v>
      </c>
      <c r="G51" s="8" t="str">
        <f aca="false">IFERROR(IF(OR(INDEX(Species!$I$2:$I$300,$R51)="",INDEX(Species!$M$2:$M$300,$R51)=""),"",CHAR(MAX(CODE(INDEX(Species!$I$2:$I$300,$R51)),CODE(INDEX(Species!$M$2:$M$300,$R51))))),"")</f>
        <v>C</v>
      </c>
      <c r="H51" s="9" t="str">
        <f aca="false">IFERROR(MID(IF(AND(ISNUMBER(INDEX(Species!$J$2:$J$300,$R51)),N(INDEX(Species!$J$2:$J$300,$R51))&gt;1.5),"; LD50 sources differ "&amp;TEXT(INDEX(Species!$J$2:$J$300,$R51),"0.0")&amp;"x","")&amp;IF(AND(INDEX(Species!$H$2:$H$300,$R51)&lt;&gt;"",INDEX(Species!$H$2:$H$300,$R51)&lt;&gt;"SC"),"; LD50 route "&amp;INDEX(Species!$H$2:$H$300,$R51),"")&amp;IF(INDEX(Species!$I$2:$I$300,$R51)="D","; LD50 Tier D","")&amp;IF(AND(ISNUMBER(INDEX(Species!$N$2:$N$300,$R51)),N(INDEX(Species!$N$2:$N$300,$R51))&gt;1.5),"; yield sources differ "&amp;TEXT(INDEX(Species!$N$2:$N$300,$R51),"0.0")&amp;"x","")&amp;IF(INDEX(Species!$M$2:$M$300,$R51)="D","; yield Tier D",""),3,300),"")</f>
        <v/>
      </c>
      <c r="I51" s="5" t="str">
        <f aca="false">IFERROR(INDEX(Species!$S$2:$S$300,$R51)&amp;"","")</f>
        <v/>
      </c>
      <c r="J51" s="5" t="str">
        <f aca="false">IFERROR(INDEX(Species!$T$2:$T$300,$R51)&amp;"","")</f>
        <v/>
      </c>
      <c r="K51" s="10" t="n">
        <f aca="false">IFERROR(MEDIAN(0,100*(LOG10(ld_least)-LOG10(INDEX(Species!$G$2:$G$300,$R51)))/(LOG10(ld_least)-LOG10(ld_most)),100),"")</f>
        <v>37.2940044701459</v>
      </c>
      <c r="L51" s="10" t="n">
        <f aca="false">IFERROR(MEDIAN(0,100*(LOG10(INDEX(Species!$L$2:$L$300,$R51))-LOG10(y_min))/(LOG10(y_max)-LOG10(y_min)),100),"")</f>
        <v>69.1820145960208</v>
      </c>
      <c r="M51" s="10" t="n">
        <f aca="false">IFERROR(IF(ISNUMBER(INDEX(Species!$O$2:$O$300,$R51)),ord_floor+(ord_ceil-ord_floor)*(INDEX(Species!$O$2:$O$300,$R51)-1)/9,""),"")</f>
        <v>54.4444444444444</v>
      </c>
      <c r="N51" s="10" t="n">
        <f aca="false">IFERROR(IF(ISNUMBER(INDEX(Species!$P$2:$P$300,$R51)),ord_floor+(ord_ceil-ord_floor)*(INDEX(Species!$P$2:$P$300,$R51)-1)/4,""),"")</f>
        <v>30</v>
      </c>
      <c r="O51" s="10" t="n">
        <f aca="false">IFERROR(IF(ISNUMBER(INDEX(onset_ord,MATCH(INDEX(Species!$Q$2:$Q$300,$R51),onset_labels,0))),ord_floor+(ord_ceil-ord_floor)*(IF(onset_dir="mortality",6-INDEX(onset_ord,MATCH(INDEX(Species!$Q$2:$Q$300,$R51),onset_labels,0)),INDEX(onset_ord,MATCH(INDEX(Species!$Q$2:$Q$300,$R51),onset_labels,0)))-1)/4,""),"")</f>
        <v>30</v>
      </c>
      <c r="P51" s="10" t="n">
        <f aca="false">IFERROR(IF(ISNUMBER(INDEX(access_ord,MATCH(INDEX(Species!$R$2:$R$300,$R51),access_labels,0))),ord_floor+(ord_ceil-ord_floor)*(INDEX(access_ord,MATCH(INDEX(Species!$R$2:$R$300,$R51),access_labels,0))-1)/4,""),"")</f>
        <v>30</v>
      </c>
      <c r="Q51" s="5" t="n">
        <f aca="false">ISNUMBER(M51)*(w_enc&gt;0)+ISNUMBER(N51)*(w_bite&gt;0)+ISNUMBER(O51)*(w_onset&gt;0)+ISNUMBER(P51)*(w_access&gt;0)</f>
        <v>4</v>
      </c>
      <c r="R51" s="11" t="n">
        <f aca="false">IFERROR(MATCH($A51,Species!$A$2:$A$300,0),"")</f>
        <v>35</v>
      </c>
    </row>
    <row r="52" customFormat="false" ht="14.25" hidden="false" customHeight="true" outlineLevel="0" collapsed="false">
      <c r="A52" s="4" t="s">
        <v>68</v>
      </c>
      <c r="B52" s="5" t="str">
        <f aca="false">IFERROR(INDEX(Species!$B$2:$B$300,$R52),"NOT IN SPECIES")</f>
        <v>Red diamond rattlesnake</v>
      </c>
      <c r="C52" s="6" t="n">
        <f aca="false">IF(w_pot+w_qty&lt;=0,"",IF(AND(OR(w_pot=0,ISNUMBER(K52)),OR(w_qty=0,ISNUMBER(L52))),(w_pot*N(K52)+w_qty*N(L52))/(w_pot*ISNUMBER(K52)+w_qty*ISNUMBER(L52)),IF(ISNUMBER(K52),"needs yield","needs LD50")))</f>
        <v>52.2915931044851</v>
      </c>
      <c r="D52" s="7" t="n">
        <f aca="false">IF(ISNUMBER(C52),RANK(C52,$C$2:$C$300),"")</f>
        <v>56</v>
      </c>
      <c r="E52" s="6" t="n">
        <f aca="false">IF(w_enc+w_bite+w_onset+w_access&lt;=0,"",IF(Q52&lt;min_dims,"insufficient data",(w_enc*N(M52)+w_bite*N(N52)+w_onset*N(O52)+w_access*N(P52))/(w_enc*ISNUMBER(M52)+w_bite*ISNUMBER(N52)+w_onset*ISNUMBER(O52)+w_access*ISNUMBER(P52))))</f>
        <v>43.3333333333333</v>
      </c>
      <c r="F52" s="7" t="n">
        <f aca="false">IF(ISNUMBER(E52),RANK(E52,$E$2:$E$300),"")</f>
        <v>44</v>
      </c>
      <c r="G52" s="8" t="str">
        <f aca="false">IFERROR(IF(OR(INDEX(Species!$I$2:$I$300,$R52)="",INDEX(Species!$M$2:$M$300,$R52)=""),"",CHAR(MAX(CODE(INDEX(Species!$I$2:$I$300,$R52)),CODE(INDEX(Species!$M$2:$M$300,$R52))))),"")</f>
        <v>C</v>
      </c>
      <c r="H52" s="9" t="str">
        <f aca="false">IFERROR(MID(IF(AND(ISNUMBER(INDEX(Species!$J$2:$J$300,$R52)),N(INDEX(Species!$J$2:$J$300,$R52))&gt;1.5),"; LD50 sources differ "&amp;TEXT(INDEX(Species!$J$2:$J$300,$R52),"0.0")&amp;"x","")&amp;IF(AND(INDEX(Species!$H$2:$H$300,$R52)&lt;&gt;"",INDEX(Species!$H$2:$H$300,$R52)&lt;&gt;"SC"),"; LD50 route "&amp;INDEX(Species!$H$2:$H$300,$R52),"")&amp;IF(INDEX(Species!$I$2:$I$300,$R52)="D","; LD50 Tier D","")&amp;IF(AND(ISNUMBER(INDEX(Species!$N$2:$N$300,$R52)),N(INDEX(Species!$N$2:$N$300,$R52))&gt;1.5),"; yield sources differ "&amp;TEXT(INDEX(Species!$N$2:$N$300,$R52),"0.0")&amp;"x","")&amp;IF(INDEX(Species!$M$2:$M$300,$R52)="D","; yield Tier D",""),3,300),"")</f>
        <v/>
      </c>
      <c r="I52" s="5" t="str">
        <f aca="false">IFERROR(INDEX(Species!$S$2:$S$300,$R52)&amp;"","")</f>
        <v/>
      </c>
      <c r="J52" s="5" t="str">
        <f aca="false">IFERROR(INDEX(Species!$T$2:$T$300,$R52)&amp;"","")</f>
        <v/>
      </c>
      <c r="K52" s="10" t="n">
        <f aca="false">IFERROR(MEDIAN(0,100*(LOG10(ld_least)-LOG10(INDEX(Species!$G$2:$G$300,$R52)))/(LOG10(ld_least)-LOG10(ld_most)),100),"")</f>
        <v>16.7495582824418</v>
      </c>
      <c r="L52" s="10" t="n">
        <f aca="false">IFERROR(MEDIAN(0,100*(LOG10(INDEX(Species!$L$2:$L$300,$R52))-LOG10(y_min))/(LOG10(y_max)-LOG10(y_min)),100),"")</f>
        <v>87.8336279265285</v>
      </c>
      <c r="M52" s="10" t="n">
        <f aca="false">IFERROR(IF(ISNUMBER(INDEX(Species!$O$2:$O$300,$R52)),ord_floor+(ord_ceil-ord_floor)*(INDEX(Species!$O$2:$O$300,$R52)-1)/9,""),"")</f>
        <v>36.6666666666667</v>
      </c>
      <c r="N52" s="10" t="n">
        <f aca="false">IFERROR(IF(ISNUMBER(INDEX(Species!$P$2:$P$300,$R52)),ord_floor+(ord_ceil-ord_floor)*(INDEX(Species!$P$2:$P$300,$R52)-1)/4,""),"")</f>
        <v>30</v>
      </c>
      <c r="O52" s="10" t="n">
        <f aca="false">IFERROR(IF(ISNUMBER(INDEX(onset_ord,MATCH(INDEX(Species!$Q$2:$Q$300,$R52),onset_labels,0))),ord_floor+(ord_ceil-ord_floor)*(IF(onset_dir="mortality",6-INDEX(onset_ord,MATCH(INDEX(Species!$Q$2:$Q$300,$R52),onset_labels,0)),INDEX(onset_ord,MATCH(INDEX(Species!$Q$2:$Q$300,$R52),onset_labels,0)))-1)/4,""),"")</f>
        <v>90</v>
      </c>
      <c r="P52" s="10" t="n">
        <f aca="false">IFERROR(IF(ISNUMBER(INDEX(access_ord,MATCH(INDEX(Species!$R$2:$R$300,$R52),access_labels,0))),ord_floor+(ord_ceil-ord_floor)*(INDEX(access_ord,MATCH(INDEX(Species!$R$2:$R$300,$R52),access_labels,0))-1)/4,""),"")</f>
        <v>10</v>
      </c>
      <c r="Q52" s="5" t="n">
        <f aca="false">ISNUMBER(M52)*(w_enc&gt;0)+ISNUMBER(N52)*(w_bite&gt;0)+ISNUMBER(O52)*(w_onset&gt;0)+ISNUMBER(P52)*(w_access&gt;0)</f>
        <v>4</v>
      </c>
      <c r="R52" s="11" t="n">
        <f aca="false">IFERROR(MATCH($A52,Species!$A$2:$A$300,0),"")</f>
        <v>59</v>
      </c>
    </row>
    <row r="53" customFormat="false" ht="14.25" hidden="false" customHeight="true" outlineLevel="0" collapsed="false">
      <c r="A53" s="4" t="s">
        <v>69</v>
      </c>
      <c r="B53" s="5" t="str">
        <f aca="false">IFERROR(INDEX(Species!$B$2:$B$300,$R53),"NOT IN SPECIES")</f>
        <v>Atlantic bushmaster</v>
      </c>
      <c r="C53" s="6" t="n">
        <f aca="false">IF(w_pot+w_qty&lt;=0,"",IF(AND(OR(w_pot=0,ISNUMBER(K53)),OR(w_qty=0,ISNUMBER(L53))),(w_pot*N(K53)+w_qty*N(L53))/(w_pot*ISNUMBER(K53)+w_qty*ISNUMBER(L53)),IF(ISNUMBER(K53),"needs yield","needs LD50")))</f>
        <v>51.2214939708553</v>
      </c>
      <c r="D53" s="7" t="n">
        <f aca="false">IF(ISNUMBER(C53),RANK(C53,$C$2:$C$300),"")</f>
        <v>57</v>
      </c>
      <c r="E53" s="6" t="n">
        <f aca="false">IF(w_enc+w_bite+w_onset+w_access&lt;=0,"",IF(Q53&lt;min_dims,"insufficient data",(w_enc*N(M53)+w_bite*N(N53)+w_onset*N(O53)+w_access*N(P53))/(w_enc*ISNUMBER(M53)+w_bite*ISNUMBER(N53)+w_onset*ISNUMBER(O53)+w_access*ISNUMBER(P53))))</f>
        <v>46.0683760683761</v>
      </c>
      <c r="F53" s="7" t="n">
        <f aca="false">IF(ISNUMBER(E53),RANK(E53,$E$2:$E$300),"")</f>
        <v>39</v>
      </c>
      <c r="G53" s="8" t="str">
        <f aca="false">IFERROR(IF(OR(INDEX(Species!$I$2:$I$300,$R53)="",INDEX(Species!$M$2:$M$300,$R53)=""),"",CHAR(MAX(CODE(INDEX(Species!$I$2:$I$300,$R53)),CODE(INDEX(Species!$M$2:$M$300,$R53))))),"")</f>
        <v>C</v>
      </c>
      <c r="H53" s="9" t="str">
        <f aca="false">IFERROR(MID(IF(AND(ISNUMBER(INDEX(Species!$J$2:$J$300,$R53)),N(INDEX(Species!$J$2:$J$300,$R53))&gt;1.5),"; LD50 sources differ "&amp;TEXT(INDEX(Species!$J$2:$J$300,$R53),"0.0")&amp;"x","")&amp;IF(AND(INDEX(Species!$H$2:$H$300,$R53)&lt;&gt;"",INDEX(Species!$H$2:$H$300,$R53)&lt;&gt;"SC"),"; LD50 route "&amp;INDEX(Species!$H$2:$H$300,$R53),"")&amp;IF(INDEX(Species!$I$2:$I$300,$R53)="D","; LD50 Tier D","")&amp;IF(AND(ISNUMBER(INDEX(Species!$N$2:$N$300,$R53)),N(INDEX(Species!$N$2:$N$300,$R53))&gt;1.5),"; yield sources differ "&amp;TEXT(INDEX(Species!$N$2:$N$300,$R53),"0.0")&amp;"x","")&amp;IF(INDEX(Species!$M$2:$M$300,$R53)="D","; yield Tier D",""),3,300),"")</f>
        <v/>
      </c>
      <c r="I53" s="5" t="str">
        <f aca="false">IFERROR(INDEX(Species!$S$2:$S$300,$R53)&amp;"","")</f>
        <v/>
      </c>
      <c r="J53" s="5" t="str">
        <f aca="false">IFERROR(INDEX(Species!$T$2:$T$300,$R53)&amp;"","")</f>
        <v/>
      </c>
      <c r="K53" s="10" t="n">
        <f aca="false">IFERROR(MEDIAN(0,100*(LOG10(ld_least)-LOG10(INDEX(Species!$G$2:$G$300,$R53)))/(LOG10(ld_least)-LOG10(ld_most)),100),"")</f>
        <v>13.1781340312303</v>
      </c>
      <c r="L53" s="10" t="n">
        <f aca="false">IFERROR(MEDIAN(0,100*(LOG10(INDEX(Species!$L$2:$L$300,$R53))-LOG10(y_min))/(LOG10(y_max)-LOG10(y_min)),100),"")</f>
        <v>89.2648539104803</v>
      </c>
      <c r="M53" s="10" t="n">
        <f aca="false">IFERROR(IF(ISNUMBER(INDEX(Species!$O$2:$O$300,$R53)),ord_floor+(ord_ceil-ord_floor)*(INDEX(Species!$O$2:$O$300,$R53)-1)/9,""),"")</f>
        <v>27.7777777777778</v>
      </c>
      <c r="N53" s="10" t="n">
        <f aca="false">IFERROR(IF(ISNUMBER(INDEX(Species!$P$2:$P$300,$R53)),ord_floor+(ord_ceil-ord_floor)*(INDEX(Species!$P$2:$P$300,$R53)-1)/4,""),"")</f>
        <v>50</v>
      </c>
      <c r="O53" s="10" t="n">
        <f aca="false">IFERROR(IF(ISNUMBER(INDEX(onset_ord,MATCH(INDEX(Species!$Q$2:$Q$300,$R53),onset_labels,0))),ord_floor+(ord_ceil-ord_floor)*(IF(onset_dir="mortality",6-INDEX(onset_ord,MATCH(INDEX(Species!$Q$2:$Q$300,$R53),onset_labels,0)),INDEX(onset_ord,MATCH(INDEX(Species!$Q$2:$Q$300,$R53),onset_labels,0)))-1)/4,""),"")</f>
        <v>70</v>
      </c>
      <c r="P53" s="10" t="n">
        <f aca="false">IFERROR(IF(ISNUMBER(INDEX(access_ord,MATCH(INDEX(Species!$R$2:$R$300,$R53),access_labels,0))),ord_floor+(ord_ceil-ord_floor)*(INDEX(access_ord,MATCH(INDEX(Species!$R$2:$R$300,$R53),access_labels,0))-1)/4,""),"")</f>
        <v>50</v>
      </c>
      <c r="Q53" s="5" t="n">
        <f aca="false">ISNUMBER(M53)*(w_enc&gt;0)+ISNUMBER(N53)*(w_bite&gt;0)+ISNUMBER(O53)*(w_onset&gt;0)+ISNUMBER(P53)*(w_access&gt;0)</f>
        <v>4</v>
      </c>
      <c r="R53" s="11" t="n">
        <f aca="false">IFERROR(MATCH($A53,Species!$A$2:$A$300,0),"")</f>
        <v>61</v>
      </c>
    </row>
    <row r="54" customFormat="false" ht="14.25" hidden="false" customHeight="true" outlineLevel="0" collapsed="false">
      <c r="A54" s="4" t="s">
        <v>70</v>
      </c>
      <c r="B54" s="5" t="str">
        <f aca="false">IFERROR(INDEX(Species!$B$2:$B$300,$R54),"NOT IN SPECIES")</f>
        <v>Cottonmouth</v>
      </c>
      <c r="C54" s="6" t="n">
        <f aca="false">IF(w_pot+w_qty&lt;=0,"",IF(AND(OR(w_pot=0,ISNUMBER(K54)),OR(w_qty=0,ISNUMBER(L54))),(w_pot*N(K54)+w_qty*N(L54))/(w_pot*ISNUMBER(K54)+w_qty*ISNUMBER(L54)),IF(ISNUMBER(K54),"needs yield","needs LD50")))</f>
        <v>51.1113656636666</v>
      </c>
      <c r="D54" s="7" t="n">
        <f aca="false">IF(ISNUMBER(C54),RANK(C54,$C$2:$C$300),"")</f>
        <v>58</v>
      </c>
      <c r="E54" s="6" t="n">
        <f aca="false">IF(w_enc+w_bite+w_onset+w_access&lt;=0,"",IF(Q54&lt;min_dims,"insufficient data",(w_enc*N(M54)+w_bite*N(N54)+w_onset*N(O54)+w_access*N(P54))/(w_enc*ISNUMBER(M54)+w_bite*ISNUMBER(N54)+w_onset*ISNUMBER(O54)+w_access*ISNUMBER(P54))))</f>
        <v>51.3675213675214</v>
      </c>
      <c r="F54" s="7" t="n">
        <f aca="false">IF(ISNUMBER(E54),RANK(E54,$E$2:$E$300),"")</f>
        <v>24</v>
      </c>
      <c r="G54" s="8" t="str">
        <f aca="false">IFERROR(IF(OR(INDEX(Species!$I$2:$I$300,$R54)="",INDEX(Species!$M$2:$M$300,$R54)=""),"",CHAR(MAX(CODE(INDEX(Species!$I$2:$I$300,$R54)),CODE(INDEX(Species!$M$2:$M$300,$R54))))),"")</f>
        <v>C</v>
      </c>
      <c r="H54" s="9" t="str">
        <f aca="false">IFERROR(MID(IF(AND(ISNUMBER(INDEX(Species!$J$2:$J$300,$R54)),N(INDEX(Species!$J$2:$J$300,$R54))&gt;1.5),"; LD50 sources differ "&amp;TEXT(INDEX(Species!$J$2:$J$300,$R54),"0.0")&amp;"x","")&amp;IF(AND(INDEX(Species!$H$2:$H$300,$R54)&lt;&gt;"",INDEX(Species!$H$2:$H$300,$R54)&lt;&gt;"SC"),"; LD50 route "&amp;INDEX(Species!$H$2:$H$300,$R54),"")&amp;IF(INDEX(Species!$I$2:$I$300,$R54)="D","; LD50 Tier D","")&amp;IF(AND(ISNUMBER(INDEX(Species!$N$2:$N$300,$R54)),N(INDEX(Species!$N$2:$N$300,$R54))&gt;1.5),"; yield sources differ "&amp;TEXT(INDEX(Species!$N$2:$N$300,$R54),"0.0")&amp;"x","")&amp;IF(INDEX(Species!$M$2:$M$300,$R54)="D","; yield Tier D",""),3,300),"")</f>
        <v/>
      </c>
      <c r="I54" s="5" t="str">
        <f aca="false">IFERROR(INDEX(Species!$S$2:$S$300,$R54)&amp;"","")</f>
        <v/>
      </c>
      <c r="J54" s="5" t="str">
        <f aca="false">IFERROR(INDEX(Species!$T$2:$T$300,$R54)&amp;"","")</f>
        <v/>
      </c>
      <c r="K54" s="10" t="n">
        <f aca="false">IFERROR(MEDIAN(0,100*(LOG10(ld_least)-LOG10(INDEX(Species!$G$2:$G$300,$R54)))/(LOG10(ld_least)-LOG10(ld_most)),100),"")</f>
        <v>27.6125173401062</v>
      </c>
      <c r="L54" s="10" t="n">
        <f aca="false">IFERROR(MEDIAN(0,100*(LOG10(INDEX(Species!$L$2:$L$300,$R54))-LOG10(y_min))/(LOG10(y_max)-LOG10(y_min)),100),"")</f>
        <v>74.6102139872269</v>
      </c>
      <c r="M54" s="10" t="n">
        <f aca="false">IFERROR(IF(ISNUMBER(INDEX(Species!$O$2:$O$300,$R54)),ord_floor+(ord_ceil-ord_floor)*(INDEX(Species!$O$2:$O$300,$R54)-1)/9,""),"")</f>
        <v>45.5555555555556</v>
      </c>
      <c r="N54" s="10" t="n">
        <f aca="false">IFERROR(IF(ISNUMBER(INDEX(Species!$P$2:$P$300,$R54)),ord_floor+(ord_ceil-ord_floor)*(INDEX(Species!$P$2:$P$300,$R54)-1)/4,""),"")</f>
        <v>50</v>
      </c>
      <c r="O54" s="10" t="n">
        <f aca="false">IFERROR(IF(ISNUMBER(INDEX(onset_ord,MATCH(INDEX(Species!$Q$2:$Q$300,$R54),onset_labels,0))),ord_floor+(ord_ceil-ord_floor)*(IF(onset_dir="mortality",6-INDEX(onset_ord,MATCH(INDEX(Species!$Q$2:$Q$300,$R54),onset_labels,0)),INDEX(onset_ord,MATCH(INDEX(Species!$Q$2:$Q$300,$R54),onset_labels,0)))-1)/4,""),"")</f>
        <v>90</v>
      </c>
      <c r="P54" s="10" t="n">
        <f aca="false">IFERROR(IF(ISNUMBER(INDEX(access_ord,MATCH(INDEX(Species!$R$2:$R$300,$R54),access_labels,0))),ord_floor+(ord_ceil-ord_floor)*(INDEX(access_ord,MATCH(INDEX(Species!$R$2:$R$300,$R54),access_labels,0))-1)/4,""),"")</f>
        <v>10</v>
      </c>
      <c r="Q54" s="5" t="n">
        <f aca="false">ISNUMBER(M54)*(w_enc&gt;0)+ISNUMBER(N54)*(w_bite&gt;0)+ISNUMBER(O54)*(w_onset&gt;0)+ISNUMBER(P54)*(w_access&gt;0)</f>
        <v>4</v>
      </c>
      <c r="R54" s="11" t="n">
        <f aca="false">IFERROR(MATCH($A54,Species!$A$2:$A$300,0),"")</f>
        <v>37</v>
      </c>
    </row>
    <row r="55" customFormat="false" ht="14.25" hidden="false" customHeight="true" outlineLevel="0" collapsed="false">
      <c r="A55" s="4" t="s">
        <v>71</v>
      </c>
      <c r="B55" s="5" t="str">
        <f aca="false">IFERROR(INDEX(Species!$B$2:$B$300,$R55),"NOT IN SPECIES")</f>
        <v>Jararaca</v>
      </c>
      <c r="C55" s="6" t="n">
        <f aca="false">IF(w_pot+w_qty&lt;=0,"",IF(AND(OR(w_pot=0,ISNUMBER(K55)),OR(w_qty=0,ISNUMBER(L55))),(w_pot*N(K55)+w_qty*N(L55))/(w_pot*ISNUMBER(K55)+w_qty*ISNUMBER(L55)),IF(ISNUMBER(K55),"needs yield","needs LD50")))</f>
        <v>50.7192847382208</v>
      </c>
      <c r="D55" s="7" t="n">
        <f aca="false">IF(ISNUMBER(C55),RANK(C55,$C$2:$C$300),"")</f>
        <v>59</v>
      </c>
      <c r="E55" s="6" t="n">
        <f aca="false">IF(w_enc+w_bite+w_onset+w_access&lt;=0,"",IF(Q55&lt;min_dims,"insufficient data",(w_enc*N(M55)+w_bite*N(N55)+w_onset*N(O55)+w_access*N(P55))/(w_enc*ISNUMBER(M55)+w_bite*ISNUMBER(N55)+w_onset*ISNUMBER(O55)+w_access*ISNUMBER(P55))))</f>
        <v>64.7008547008547</v>
      </c>
      <c r="F55" s="7" t="n">
        <f aca="false">IF(ISNUMBER(E55),RANK(E55,$E$2:$E$300),"")</f>
        <v>5</v>
      </c>
      <c r="G55" s="8" t="str">
        <f aca="false">IFERROR(IF(OR(INDEX(Species!$I$2:$I$300,$R55)="",INDEX(Species!$M$2:$M$300,$R55)=""),"",CHAR(MAX(CODE(INDEX(Species!$I$2:$I$300,$R55)),CODE(INDEX(Species!$M$2:$M$300,$R55))))),"")</f>
        <v>C</v>
      </c>
      <c r="H55" s="9" t="str">
        <f aca="false">IFERROR(MID(IF(AND(ISNUMBER(INDEX(Species!$J$2:$J$300,$R55)),N(INDEX(Species!$J$2:$J$300,$R55))&gt;1.5),"; LD50 sources differ "&amp;TEXT(INDEX(Species!$J$2:$J$300,$R55),"0.0")&amp;"x","")&amp;IF(AND(INDEX(Species!$H$2:$H$300,$R55)&lt;&gt;"",INDEX(Species!$H$2:$H$300,$R55)&lt;&gt;"SC"),"; LD50 route "&amp;INDEX(Species!$H$2:$H$300,$R55),"")&amp;IF(INDEX(Species!$I$2:$I$300,$R55)="D","; LD50 Tier D","")&amp;IF(AND(ISNUMBER(INDEX(Species!$N$2:$N$300,$R55)),N(INDEX(Species!$N$2:$N$300,$R55))&gt;1.5),"; yield sources differ "&amp;TEXT(INDEX(Species!$N$2:$N$300,$R55),"0.0")&amp;"x","")&amp;IF(INDEX(Species!$M$2:$M$300,$R55)="D","; yield Tier D",""),3,300),"")</f>
        <v>yield sources differ 4.3x</v>
      </c>
      <c r="I55" s="5" t="str">
        <f aca="false">IFERROR(INDEX(Species!$S$2:$S$300,$R55)&amp;"","")</f>
        <v/>
      </c>
      <c r="J55" s="5" t="str">
        <f aca="false">IFERROR(INDEX(Species!$T$2:$T$300,$R55)&amp;"","")</f>
        <v/>
      </c>
      <c r="K55" s="10" t="n">
        <f aca="false">IFERROR(MEDIAN(0,100*(LOG10(ld_least)-LOG10(INDEX(Species!$G$2:$G$300,$R55)))/(LOG10(ld_least)-LOG10(ld_most)),100),"")</f>
        <v>38.8815556885477</v>
      </c>
      <c r="L55" s="10" t="n">
        <f aca="false">IFERROR(MEDIAN(0,100*(LOG10(INDEX(Species!$L$2:$L$300,$R55))-LOG10(y_min))/(LOG10(y_max)-LOG10(y_min)),100),"")</f>
        <v>62.557013787894</v>
      </c>
      <c r="M55" s="10" t="n">
        <f aca="false">IFERROR(IF(ISNUMBER(INDEX(Species!$O$2:$O$300,$R55)),ord_floor+(ord_ceil-ord_floor)*(INDEX(Species!$O$2:$O$300,$R55)-1)/9,""),"")</f>
        <v>72.2222222222222</v>
      </c>
      <c r="N55" s="10" t="n">
        <f aca="false">IFERROR(IF(ISNUMBER(INDEX(Species!$P$2:$P$300,$R55)),ord_floor+(ord_ceil-ord_floor)*(INDEX(Species!$P$2:$P$300,$R55)-1)/4,""),"")</f>
        <v>70</v>
      </c>
      <c r="O55" s="10" t="n">
        <f aca="false">IFERROR(IF(ISNUMBER(INDEX(onset_ord,MATCH(INDEX(Species!$Q$2:$Q$300,$R55),onset_labels,0))),ord_floor+(ord_ceil-ord_floor)*(IF(onset_dir="mortality",6-INDEX(onset_ord,MATCH(INDEX(Species!$Q$2:$Q$300,$R55),onset_labels,0)),INDEX(onset_ord,MATCH(INDEX(Species!$Q$2:$Q$300,$R55),onset_labels,0)))-1)/4,""),"")</f>
        <v>70</v>
      </c>
      <c r="P55" s="10" t="n">
        <f aca="false">IFERROR(IF(ISNUMBER(INDEX(access_ord,MATCH(INDEX(Species!$R$2:$R$300,$R55),access_labels,0))),ord_floor+(ord_ceil-ord_floor)*(INDEX(access_ord,MATCH(INDEX(Species!$R$2:$R$300,$R55),access_labels,0))-1)/4,""),"")</f>
        <v>30</v>
      </c>
      <c r="Q55" s="5" t="n">
        <f aca="false">ISNUMBER(M55)*(w_enc&gt;0)+ISNUMBER(N55)*(w_bite&gt;0)+ISNUMBER(O55)*(w_onset&gt;0)+ISNUMBER(P55)*(w_access&gt;0)</f>
        <v>4</v>
      </c>
      <c r="R55" s="11" t="n">
        <f aca="false">IFERROR(MATCH($A55,Species!$A$2:$A$300,0),"")</f>
        <v>38</v>
      </c>
    </row>
    <row r="56" customFormat="false" ht="14.25" hidden="false" customHeight="true" outlineLevel="0" collapsed="false">
      <c r="A56" s="4" t="s">
        <v>72</v>
      </c>
      <c r="B56" s="5" t="str">
        <f aca="false">IFERROR(INDEX(Species!$B$2:$B$300,$R56),"NOT IN SPECIES")</f>
        <v>Southern coral snake</v>
      </c>
      <c r="C56" s="6" t="n">
        <f aca="false">IF(w_pot+w_qty&lt;=0,"",IF(AND(OR(w_pot=0,ISNUMBER(K56)),OR(w_qty=0,ISNUMBER(L56))),(w_pot*N(K56)+w_qty*N(L56))/(w_pot*ISNUMBER(K56)+w_qty*ISNUMBER(L56)),IF(ISNUMBER(K56),"needs yield","needs LD50")))</f>
        <v>50.0488798683839</v>
      </c>
      <c r="D56" s="7" t="n">
        <f aca="false">IF(ISNUMBER(C56),RANK(C56,$C$2:$C$300),"")</f>
        <v>61</v>
      </c>
      <c r="E56" s="6" t="n">
        <f aca="false">IF(w_enc+w_bite+w_onset+w_access&lt;=0,"",IF(Q56&lt;min_dims,"insufficient data",(w_enc*N(M56)+w_bite*N(N56)+w_onset*N(O56)+w_access*N(P56))/(w_enc*ISNUMBER(M56)+w_bite*ISNUMBER(N56)+w_onset*ISNUMBER(O56)+w_access*ISNUMBER(P56))))</f>
        <v>36.8376068376068</v>
      </c>
      <c r="F56" s="7" t="n">
        <f aca="false">IF(ISNUMBER(E56),RANK(E56,$E$2:$E$300),"")</f>
        <v>69</v>
      </c>
      <c r="G56" s="8" t="str">
        <f aca="false">IFERROR(IF(OR(INDEX(Species!$I$2:$I$300,$R56)="",INDEX(Species!$M$2:$M$300,$R56)=""),"",CHAR(MAX(CODE(INDEX(Species!$I$2:$I$300,$R56)),CODE(INDEX(Species!$M$2:$M$300,$R56))))),"")</f>
        <v>C</v>
      </c>
      <c r="H56" s="9" t="str">
        <f aca="false">IFERROR(MID(IF(AND(ISNUMBER(INDEX(Species!$J$2:$J$300,$R56)),N(INDEX(Species!$J$2:$J$300,$R56))&gt;1.5),"; LD50 sources differ "&amp;TEXT(INDEX(Species!$J$2:$J$300,$R56),"0.0")&amp;"x","")&amp;IF(AND(INDEX(Species!$H$2:$H$300,$R56)&lt;&gt;"",INDEX(Species!$H$2:$H$300,$R56)&lt;&gt;"SC"),"; LD50 route "&amp;INDEX(Species!$H$2:$H$300,$R56),"")&amp;IF(INDEX(Species!$I$2:$I$300,$R56)="D","; LD50 Tier D","")&amp;IF(AND(ISNUMBER(INDEX(Species!$N$2:$N$300,$R56)),N(INDEX(Species!$N$2:$N$300,$R56))&gt;1.5),"; yield sources differ "&amp;TEXT(INDEX(Species!$N$2:$N$300,$R56),"0.0")&amp;"x","")&amp;IF(INDEX(Species!$M$2:$M$300,$R56)="D","; yield Tier D",""),3,300),"")</f>
        <v/>
      </c>
      <c r="I56" s="5" t="str">
        <f aca="false">IFERROR(INDEX(Species!$S$2:$S$300,$R56)&amp;"","")</f>
        <v/>
      </c>
      <c r="J56" s="5" t="str">
        <f aca="false">IFERROR(INDEX(Species!$T$2:$T$300,$R56)&amp;"","")</f>
        <v/>
      </c>
      <c r="K56" s="10" t="n">
        <f aca="false">IFERROR(MEDIAN(0,100*(LOG10(ld_least)-LOG10(INDEX(Species!$G$2:$G$300,$R56)))/(LOG10(ld_least)-LOG10(ld_most)),100),"")</f>
        <v>49.0505103645233</v>
      </c>
      <c r="L56" s="10" t="n">
        <f aca="false">IFERROR(MEDIAN(0,100*(LOG10(INDEX(Species!$L$2:$L$300,$R56))-LOG10(y_min))/(LOG10(y_max)-LOG10(y_min)),100),"")</f>
        <v>51.0472493722446</v>
      </c>
      <c r="M56" s="10" t="n">
        <f aca="false">IFERROR(IF(ISNUMBER(INDEX(Species!$O$2:$O$300,$R56)),ord_floor+(ord_ceil-ord_floor)*(INDEX(Species!$O$2:$O$300,$R56)-1)/9,""),"")</f>
        <v>27.7777777777778</v>
      </c>
      <c r="N56" s="10" t="n">
        <f aca="false">IFERROR(IF(ISNUMBER(INDEX(Species!$P$2:$P$300,$R56)),ord_floor+(ord_ceil-ord_floor)*(INDEX(Species!$P$2:$P$300,$R56)-1)/4,""),"")</f>
        <v>30</v>
      </c>
      <c r="O56" s="10" t="n">
        <f aca="false">IFERROR(IF(ISNUMBER(INDEX(onset_ord,MATCH(INDEX(Species!$Q$2:$Q$300,$R56),onset_labels,0))),ord_floor+(ord_ceil-ord_floor)*(IF(onset_dir="mortality",6-INDEX(onset_ord,MATCH(INDEX(Species!$Q$2:$Q$300,$R56),onset_labels,0)),INDEX(onset_ord,MATCH(INDEX(Species!$Q$2:$Q$300,$R56),onset_labels,0)))-1)/4,""),"")</f>
        <v>50</v>
      </c>
      <c r="P56" s="10" t="n">
        <f aca="false">IFERROR(IF(ISNUMBER(INDEX(access_ord,MATCH(INDEX(Species!$R$2:$R$300,$R56),access_labels,0))),ord_floor+(ord_ceil-ord_floor)*(INDEX(access_ord,MATCH(INDEX(Species!$R$2:$R$300,$R56),access_labels,0))-1)/4,""),"")</f>
        <v>50</v>
      </c>
      <c r="Q56" s="5" t="n">
        <f aca="false">ISNUMBER(M56)*(w_enc&gt;0)+ISNUMBER(N56)*(w_bite&gt;0)+ISNUMBER(O56)*(w_onset&gt;0)+ISNUMBER(P56)*(w_access&gt;0)</f>
        <v>4</v>
      </c>
      <c r="R56" s="11" t="n">
        <f aca="false">IFERROR(MATCH($A56,Species!$A$2:$A$300,0),"")</f>
        <v>43</v>
      </c>
    </row>
    <row r="57" customFormat="false" ht="14.25" hidden="false" customHeight="true" outlineLevel="0" collapsed="false">
      <c r="A57" s="4" t="s">
        <v>73</v>
      </c>
      <c r="B57" s="5" t="str">
        <f aca="false">IFERROR(INDEX(Species!$B$2:$B$300,$R57),"NOT IN SPECIES")</f>
        <v>White-lipped pit viper</v>
      </c>
      <c r="C57" s="6" t="n">
        <f aca="false">IF(w_pot+w_qty&lt;=0,"",IF(AND(OR(w_pot=0,ISNUMBER(K57)),OR(w_qty=0,ISNUMBER(L57))),(w_pot*N(K57)+w_qty*N(L57))/(w_pot*ISNUMBER(K57)+w_qty*ISNUMBER(L57)),IF(ISNUMBER(K57),"needs yield","needs LD50")))</f>
        <v>50.1962309606559</v>
      </c>
      <c r="D57" s="7" t="n">
        <f aca="false">IF(ISNUMBER(C57),RANK(C57,$C$2:$C$300),"")</f>
        <v>60</v>
      </c>
      <c r="E57" s="6" t="n">
        <f aca="false">IF(w_enc+w_bite+w_onset+w_access&lt;=0,"",IF(Q57&lt;min_dims,"insufficient data",(w_enc*N(M57)+w_bite*N(N57)+w_onset*N(O57)+w_access*N(P57))/(w_enc*ISNUMBER(M57)+w_bite*ISNUMBER(N57)+w_onset*ISNUMBER(O57)+w_access*ISNUMBER(P57))))</f>
        <v>60.2222222222222</v>
      </c>
      <c r="F57" s="7" t="n">
        <f aca="false">IF(ISNUMBER(E57),RANK(E57,$E$2:$E$300),"")</f>
        <v>9</v>
      </c>
      <c r="G57" s="8" t="str">
        <f aca="false">IFERROR(IF(OR(INDEX(Species!$I$2:$I$300,$R57)="",INDEX(Species!$M$2:$M$300,$R57)=""),"",CHAR(MAX(CODE(INDEX(Species!$I$2:$I$300,$R57)),CODE(INDEX(Species!$M$2:$M$300,$R57))))),"")</f>
        <v>C</v>
      </c>
      <c r="H57" s="9" t="str">
        <f aca="false">IFERROR(MID(IF(AND(ISNUMBER(INDEX(Species!$J$2:$J$300,$R57)),N(INDEX(Species!$J$2:$J$300,$R57))&gt;1.5),"; LD50 sources differ "&amp;TEXT(INDEX(Species!$J$2:$J$300,$R57),"0.0")&amp;"x","")&amp;IF(AND(INDEX(Species!$H$2:$H$300,$R57)&lt;&gt;"",INDEX(Species!$H$2:$H$300,$R57)&lt;&gt;"SC"),"; LD50 route "&amp;INDEX(Species!$H$2:$H$300,$R57),"")&amp;IF(INDEX(Species!$I$2:$I$300,$R57)="D","; LD50 Tier D","")&amp;IF(AND(ISNUMBER(INDEX(Species!$N$2:$N$300,$R57)),N(INDEX(Species!$N$2:$N$300,$R57))&gt;1.5),"; yield sources differ "&amp;TEXT(INDEX(Species!$N$2:$N$300,$R57),"0.0")&amp;"x","")&amp;IF(INDEX(Species!$M$2:$M$300,$R57)="D","; yield Tier D",""),3,300),"")</f>
        <v/>
      </c>
      <c r="I57" s="5" t="str">
        <f aca="false">IFERROR(INDEX(Species!$S$2:$S$300,$R57)&amp;"","")</f>
        <v/>
      </c>
      <c r="J57" s="5" t="str">
        <f aca="false">IFERROR(INDEX(Species!$T$2:$T$300,$R57)&amp;"","")</f>
        <v/>
      </c>
      <c r="K57" s="10" t="n">
        <f aca="false">IFERROR(MEDIAN(0,100*(LOG10(ld_least)-LOG10(INDEX(Species!$G$2:$G$300,$R57)))/(LOG10(ld_least)-LOG10(ld_most)),100),"")</f>
        <v>58.7609813437279</v>
      </c>
      <c r="L57" s="10" t="n">
        <f aca="false">IFERROR(MEDIAN(0,100*(LOG10(INDEX(Species!$L$2:$L$300,$R57))-LOG10(y_min))/(LOG10(y_max)-LOG10(y_min)),100),"")</f>
        <v>41.6314805775839</v>
      </c>
      <c r="M57" s="10" t="n">
        <f aca="false">IFERROR(IF(ISNUMBER(INDEX(Species!$O$2:$O$300,$R57)),ord_floor+(ord_ceil-ord_floor)*(INDEX(Species!$O$2:$O$300,$R57)-1)/9,""),"")</f>
        <v>54.4444444444444</v>
      </c>
      <c r="N57" s="10" t="str">
        <f aca="false">IFERROR(IF(ISNUMBER(INDEX(Species!$P$2:$P$300,$R57)),ord_floor+(ord_ceil-ord_floor)*(INDEX(Species!$P$2:$P$300,$R57)-1)/4,""),"")</f>
        <v/>
      </c>
      <c r="O57" s="10" t="n">
        <f aca="false">IFERROR(IF(ISNUMBER(INDEX(onset_ord,MATCH(INDEX(Species!$Q$2:$Q$300,$R57),onset_labels,0))),ord_floor+(ord_ceil-ord_floor)*(IF(onset_dir="mortality",6-INDEX(onset_ord,MATCH(INDEX(Species!$Q$2:$Q$300,$R57),onset_labels,0)),INDEX(onset_ord,MATCH(INDEX(Species!$Q$2:$Q$300,$R57),onset_labels,0)))-1)/4,""),"")</f>
        <v>90</v>
      </c>
      <c r="P57" s="10" t="n">
        <f aca="false">IFERROR(IF(ISNUMBER(INDEX(access_ord,MATCH(INDEX(Species!$R$2:$R$300,$R57),access_labels,0))),ord_floor+(ord_ceil-ord_floor)*(INDEX(access_ord,MATCH(INDEX(Species!$R$2:$R$300,$R57),access_labels,0))-1)/4,""),"")</f>
        <v>30</v>
      </c>
      <c r="Q57" s="5" t="n">
        <f aca="false">ISNUMBER(M57)*(w_enc&gt;0)+ISNUMBER(N57)*(w_bite&gt;0)+ISNUMBER(O57)*(w_onset&gt;0)+ISNUMBER(P57)*(w_access&gt;0)</f>
        <v>3</v>
      </c>
      <c r="R57" s="11" t="n">
        <f aca="false">IFERROR(MATCH($A57,Species!$A$2:$A$300,0),"")</f>
        <v>65</v>
      </c>
    </row>
    <row r="58" customFormat="false" ht="14.25" hidden="false" customHeight="true" outlineLevel="0" collapsed="false">
      <c r="A58" s="4" t="s">
        <v>74</v>
      </c>
      <c r="B58" s="5" t="str">
        <f aca="false">IFERROR(INDEX(Species!$B$2:$B$300,$R58),"NOT IN SPECIES")</f>
        <v>Picado's pit viper</v>
      </c>
      <c r="C58" s="6" t="n">
        <f aca="false">IF(w_pot+w_qty&lt;=0,"",IF(AND(OR(w_pot=0,ISNUMBER(K58)),OR(w_qty=0,ISNUMBER(L58))),(w_pot*N(K58)+w_qty*N(L58))/(w_pot*ISNUMBER(K58)+w_qty*ISNUMBER(L58)),IF(ISNUMBER(K58),"needs yield","needs LD50")))</f>
        <v>48.9871756993818</v>
      </c>
      <c r="D58" s="7" t="n">
        <f aca="false">IF(ISNUMBER(C58),RANK(C58,$C$2:$C$300),"")</f>
        <v>63</v>
      </c>
      <c r="E58" s="6" t="n">
        <f aca="false">IF(w_enc+w_bite+w_onset+w_access&lt;=0,"",IF(Q58&lt;min_dims,"insufficient data",(w_enc*N(M58)+w_bite*N(N58)+w_onset*N(O58)+w_access*N(P58))/(w_enc*ISNUMBER(M58)+w_bite*ISNUMBER(N58)+w_onset*ISNUMBER(O58)+w_access*ISNUMBER(P58))))</f>
        <v>42.991452991453</v>
      </c>
      <c r="F58" s="7" t="n">
        <f aca="false">IF(ISNUMBER(E58),RANK(E58,$E$2:$E$300),"")</f>
        <v>47</v>
      </c>
      <c r="G58" s="8" t="str">
        <f aca="false">IFERROR(IF(OR(INDEX(Species!$I$2:$I$300,$R58)="",INDEX(Species!$M$2:$M$300,$R58)=""),"",CHAR(MAX(CODE(INDEX(Species!$I$2:$I$300,$R58)),CODE(INDEX(Species!$M$2:$M$300,$R58))))),"")</f>
        <v>C</v>
      </c>
      <c r="H58" s="9" t="str">
        <f aca="false">IFERROR(MID(IF(AND(ISNUMBER(INDEX(Species!$J$2:$J$300,$R58)),N(INDEX(Species!$J$2:$J$300,$R58))&gt;1.5),"; LD50 sources differ "&amp;TEXT(INDEX(Species!$J$2:$J$300,$R58),"0.0")&amp;"x","")&amp;IF(AND(INDEX(Species!$H$2:$H$300,$R58)&lt;&gt;"",INDEX(Species!$H$2:$H$300,$R58)&lt;&gt;"SC"),"; LD50 route "&amp;INDEX(Species!$H$2:$H$300,$R58),"")&amp;IF(INDEX(Species!$I$2:$I$300,$R58)="D","; LD50 Tier D","")&amp;IF(AND(ISNUMBER(INDEX(Species!$N$2:$N$300,$R58)),N(INDEX(Species!$N$2:$N$300,$R58))&gt;1.5),"; yield sources differ "&amp;TEXT(INDEX(Species!$N$2:$N$300,$R58),"0.0")&amp;"x","")&amp;IF(INDEX(Species!$M$2:$M$300,$R58)="D","; yield Tier D",""),3,300),"")</f>
        <v/>
      </c>
      <c r="I58" s="5" t="str">
        <f aca="false">IFERROR(INDEX(Species!$S$2:$S$300,$R58)&amp;"","")</f>
        <v/>
      </c>
      <c r="J58" s="5" t="str">
        <f aca="false">IFERROR(INDEX(Species!$T$2:$T$300,$R58)&amp;"","")</f>
        <v/>
      </c>
      <c r="K58" s="10" t="n">
        <f aca="false">IFERROR(MEDIAN(0,100*(LOG10(ld_least)-LOG10(INDEX(Species!$G$2:$G$300,$R58)))/(LOG10(ld_least)-LOG10(ld_most)),100),"")</f>
        <v>35.4173376108697</v>
      </c>
      <c r="L58" s="10" t="n">
        <f aca="false">IFERROR(MEDIAN(0,100*(LOG10(INDEX(Species!$L$2:$L$300,$R58))-LOG10(y_min))/(LOG10(y_max)-LOG10(y_min)),100),"")</f>
        <v>62.557013787894</v>
      </c>
      <c r="M58" s="10" t="n">
        <f aca="false">IFERROR(IF(ISNUMBER(INDEX(Species!$O$2:$O$300,$R58)),ord_floor+(ord_ceil-ord_floor)*(INDEX(Species!$O$2:$O$300,$R58)-1)/9,""),"")</f>
        <v>27.7777777777778</v>
      </c>
      <c r="N58" s="10" t="n">
        <f aca="false">IFERROR(IF(ISNUMBER(INDEX(Species!$P$2:$P$300,$R58)),ord_floor+(ord_ceil-ord_floor)*(INDEX(Species!$P$2:$P$300,$R58)-1)/4,""),"")</f>
        <v>30</v>
      </c>
      <c r="O58" s="10" t="n">
        <f aca="false">IFERROR(IF(ISNUMBER(INDEX(onset_ord,MATCH(INDEX(Species!$Q$2:$Q$300,$R58),onset_labels,0))),ord_floor+(ord_ceil-ord_floor)*(IF(onset_dir="mortality",6-INDEX(onset_ord,MATCH(INDEX(Species!$Q$2:$Q$300,$R58),onset_labels,0)),INDEX(onset_ord,MATCH(INDEX(Species!$Q$2:$Q$300,$R58),onset_labels,0)))-1)/4,""),"")</f>
        <v>90</v>
      </c>
      <c r="P58" s="10" t="n">
        <f aca="false">IFERROR(IF(ISNUMBER(INDEX(access_ord,MATCH(INDEX(Species!$R$2:$R$300,$R58),access_labels,0))),ord_floor+(ord_ceil-ord_floor)*(INDEX(access_ord,MATCH(INDEX(Species!$R$2:$R$300,$R58),access_labels,0))-1)/4,""),"")</f>
        <v>30</v>
      </c>
      <c r="Q58" s="5" t="n">
        <f aca="false">ISNUMBER(M58)*(w_enc&gt;0)+ISNUMBER(N58)*(w_bite&gt;0)+ISNUMBER(O58)*(w_onset&gt;0)+ISNUMBER(P58)*(w_access&gt;0)</f>
        <v>4</v>
      </c>
      <c r="R58" s="11" t="n">
        <f aca="false">IFERROR(MATCH($A58,Species!$A$2:$A$300,0),"")</f>
        <v>40</v>
      </c>
    </row>
    <row r="59" customFormat="false" ht="14.25" hidden="false" customHeight="true" outlineLevel="0" collapsed="false">
      <c r="A59" s="4" t="s">
        <v>75</v>
      </c>
      <c r="B59" s="5" t="str">
        <f aca="false">IFERROR(INDEX(Species!$B$2:$B$300,$R59),"NOT IN SPECIES")</f>
        <v>Malayan pit viper</v>
      </c>
      <c r="C59" s="6" t="n">
        <f aca="false">IF(w_pot+w_qty&lt;=0,"",IF(AND(OR(w_pot=0,ISNUMBER(K59)),OR(w_qty=0,ISNUMBER(L59))),(w_pot*N(K59)+w_qty*N(L59))/(w_pot*ISNUMBER(K59)+w_qty*ISNUMBER(L59)),IF(ISNUMBER(K59),"needs yield","needs LD50")))</f>
        <v>48.5793807624144</v>
      </c>
      <c r="D59" s="7" t="n">
        <f aca="false">IF(ISNUMBER(C59),RANK(C59,$C$2:$C$300),"")</f>
        <v>64</v>
      </c>
      <c r="E59" s="6" t="n">
        <f aca="false">IF(w_enc+w_bite+w_onset+w_access&lt;=0,"",IF(Q59&lt;min_dims,"insufficient data",(w_enc*N(M59)+w_bite*N(N59)+w_onset*N(O59)+w_access*N(P59))/(w_enc*ISNUMBER(M59)+w_bite*ISNUMBER(N59)+w_onset*ISNUMBER(O59)+w_access*ISNUMBER(P59))))</f>
        <v>62.4786324786325</v>
      </c>
      <c r="F59" s="7" t="n">
        <f aca="false">IF(ISNUMBER(E59),RANK(E59,$E$2:$E$300),"")</f>
        <v>8</v>
      </c>
      <c r="G59" s="8" t="str">
        <f aca="false">IFERROR(IF(OR(INDEX(Species!$I$2:$I$300,$R59)="",INDEX(Species!$M$2:$M$300,$R59)=""),"",CHAR(MAX(CODE(INDEX(Species!$I$2:$I$300,$R59)),CODE(INDEX(Species!$M$2:$M$300,$R59))))),"")</f>
        <v>C</v>
      </c>
      <c r="H59" s="9" t="str">
        <f aca="false">IFERROR(MID(IF(AND(ISNUMBER(INDEX(Species!$J$2:$J$300,$R59)),N(INDEX(Species!$J$2:$J$300,$R59))&gt;1.5),"; LD50 sources differ "&amp;TEXT(INDEX(Species!$J$2:$J$300,$R59),"0.0")&amp;"x","")&amp;IF(AND(INDEX(Species!$H$2:$H$300,$R59)&lt;&gt;"",INDEX(Species!$H$2:$H$300,$R59)&lt;&gt;"SC"),"; LD50 route "&amp;INDEX(Species!$H$2:$H$300,$R59),"")&amp;IF(INDEX(Species!$I$2:$I$300,$R59)="D","; LD50 Tier D","")&amp;IF(AND(ISNUMBER(INDEX(Species!$N$2:$N$300,$R59)),N(INDEX(Species!$N$2:$N$300,$R59))&gt;1.5),"; yield sources differ "&amp;TEXT(INDEX(Species!$N$2:$N$300,$R59),"0.0")&amp;"x","")&amp;IF(INDEX(Species!$M$2:$M$300,$R59)="D","; yield Tier D",""),3,300),"")</f>
        <v/>
      </c>
      <c r="I59" s="5" t="str">
        <f aca="false">IFERROR(INDEX(Species!$S$2:$S$300,$R59)&amp;"","")</f>
        <v/>
      </c>
      <c r="J59" s="5" t="str">
        <f aca="false">IFERROR(INDEX(Species!$T$2:$T$300,$R59)&amp;"","")</f>
        <v/>
      </c>
      <c r="K59" s="10" t="n">
        <f aca="false">IFERROR(MEDIAN(0,100*(LOG10(ld_least)-LOG10(INDEX(Species!$G$2:$G$300,$R59)))/(LOG10(ld_least)-LOG10(ld_most)),100),"")</f>
        <v>36.6957433579235</v>
      </c>
      <c r="L59" s="10" t="n">
        <f aca="false">IFERROR(MEDIAN(0,100*(LOG10(INDEX(Species!$L$2:$L$300,$R59))-LOG10(y_min))/(LOG10(y_max)-LOG10(y_min)),100),"")</f>
        <v>60.4630181669052</v>
      </c>
      <c r="M59" s="10" t="n">
        <f aca="false">IFERROR(IF(ISNUMBER(INDEX(Species!$O$2:$O$300,$R59)),ord_floor+(ord_ceil-ord_floor)*(INDEX(Species!$O$2:$O$300,$R59)-1)/9,""),"")</f>
        <v>54.4444444444444</v>
      </c>
      <c r="N59" s="10" t="n">
        <f aca="false">IFERROR(IF(ISNUMBER(INDEX(Species!$P$2:$P$300,$R59)),ord_floor+(ord_ceil-ord_floor)*(INDEX(Species!$P$2:$P$300,$R59)-1)/4,""),"")</f>
        <v>70</v>
      </c>
      <c r="O59" s="10" t="n">
        <f aca="false">IFERROR(IF(ISNUMBER(INDEX(onset_ord,MATCH(INDEX(Species!$Q$2:$Q$300,$R59),onset_labels,0))),ord_floor+(ord_ceil-ord_floor)*(IF(onset_dir="mortality",6-INDEX(onset_ord,MATCH(INDEX(Species!$Q$2:$Q$300,$R59),onset_labels,0)),INDEX(onset_ord,MATCH(INDEX(Species!$Q$2:$Q$300,$R59),onset_labels,0)))-1)/4,""),"")</f>
        <v>90</v>
      </c>
      <c r="P59" s="10" t="n">
        <f aca="false">IFERROR(IF(ISNUMBER(INDEX(access_ord,MATCH(INDEX(Species!$R$2:$R$300,$R59),access_labels,0))),ord_floor+(ord_ceil-ord_floor)*(INDEX(access_ord,MATCH(INDEX(Species!$R$2:$R$300,$R59),access_labels,0))-1)/4,""),"")</f>
        <v>30</v>
      </c>
      <c r="Q59" s="5" t="n">
        <f aca="false">ISNUMBER(M59)*(w_enc&gt;0)+ISNUMBER(N59)*(w_bite&gt;0)+ISNUMBER(O59)*(w_onset&gt;0)+ISNUMBER(P59)*(w_access&gt;0)</f>
        <v>4</v>
      </c>
      <c r="R59" s="11" t="n">
        <f aca="false">IFERROR(MATCH($A59,Species!$A$2:$A$300,0),"")</f>
        <v>42</v>
      </c>
    </row>
    <row r="60" customFormat="false" ht="14.25" hidden="false" customHeight="true" outlineLevel="0" collapsed="false">
      <c r="A60" s="4" t="s">
        <v>76</v>
      </c>
      <c r="B60" s="5" t="str">
        <f aca="false">IFERROR(INDEX(Species!$B$2:$B$300,$R60),"NOT IN SPECIES")</f>
        <v>Dubois' sea snake</v>
      </c>
      <c r="C60" s="6" t="n">
        <f aca="false">IF(w_pot+w_qty&lt;=0,"",IF(AND(OR(w_pot=0,ISNUMBER(K60)),OR(w_qty=0,ISNUMBER(L60))),(w_pot*N(K60)+w_qty*N(L60))/(w_pot*ISNUMBER(K60)+w_qty*ISNUMBER(L60)),IF(ISNUMBER(K60),"needs yield","needs LD50")))</f>
        <v>49.6749852074957</v>
      </c>
      <c r="D60" s="7" t="n">
        <f aca="false">IF(ISNUMBER(C60),RANK(C60,$C$2:$C$300),"")</f>
        <v>62</v>
      </c>
      <c r="E60" s="6" t="n">
        <f aca="false">IF(w_enc+w_bite+w_onset+w_access&lt;=0,"",IF(Q60&lt;min_dims,"insufficient data",(w_enc*N(M60)+w_bite*N(N60)+w_onset*N(O60)+w_access*N(P60))/(w_enc*ISNUMBER(M60)+w_bite*ISNUMBER(N60)+w_onset*ISNUMBER(O60)+w_access*ISNUMBER(P60))))</f>
        <v>30</v>
      </c>
      <c r="F60" s="7" t="n">
        <f aca="false">IF(ISNUMBER(E60),RANK(E60,$E$2:$E$300),"")</f>
        <v>79</v>
      </c>
      <c r="G60" s="8" t="str">
        <f aca="false">IFERROR(IF(OR(INDEX(Species!$I$2:$I$300,$R60)="",INDEX(Species!$M$2:$M$300,$R60)=""),"",CHAR(MAX(CODE(INDEX(Species!$I$2:$I$300,$R60)),CODE(INDEX(Species!$M$2:$M$300,$R60))))),"")</f>
        <v>C</v>
      </c>
      <c r="H60" s="9" t="str">
        <f aca="false">IFERROR(MID(IF(AND(ISNUMBER(INDEX(Species!$J$2:$J$300,$R60)),N(INDEX(Species!$J$2:$J$300,$R60))&gt;1.5),"; LD50 sources differ "&amp;TEXT(INDEX(Species!$J$2:$J$300,$R60),"0.0")&amp;"x","")&amp;IF(AND(INDEX(Species!$H$2:$H$300,$R60)&lt;&gt;"",INDEX(Species!$H$2:$H$300,$R60)&lt;&gt;"SC"),"; LD50 route "&amp;INDEX(Species!$H$2:$H$300,$R60),"")&amp;IF(INDEX(Species!$I$2:$I$300,$R60)="D","; LD50 Tier D","")&amp;IF(AND(ISNUMBER(INDEX(Species!$N$2:$N$300,$R60)),N(INDEX(Species!$N$2:$N$300,$R60))&gt;1.5),"; yield sources differ "&amp;TEXT(INDEX(Species!$N$2:$N$300,$R60),"0.0")&amp;"x","")&amp;IF(INDEX(Species!$M$2:$M$300,$R60)="D","; yield Tier D",""),3,300),"")</f>
        <v/>
      </c>
      <c r="I60" s="5" t="str">
        <f aca="false">IFERROR(INDEX(Species!$S$2:$S$300,$R60)&amp;"","")</f>
        <v/>
      </c>
      <c r="J60" s="5" t="str">
        <f aca="false">IFERROR(INDEX(Species!$T$2:$T$300,$R60)&amp;"","")</f>
        <v/>
      </c>
      <c r="K60" s="10" t="n">
        <f aca="false">IFERROR(MEDIAN(0,100*(LOG10(ld_least)-LOG10(INDEX(Species!$G$2:$G$300,$R60)))/(LOG10(ld_least)-LOG10(ld_most)),100),"")</f>
        <v>99.3499704149914</v>
      </c>
      <c r="L60" s="10" t="n">
        <f aca="false">IFERROR(MEDIAN(0,100*(LOG10(INDEX(Species!$L$2:$L$300,$R60))-LOG10(y_min))/(LOG10(y_max)-LOG10(y_min)),100),"")</f>
        <v>0</v>
      </c>
      <c r="M60" s="10" t="n">
        <f aca="false">IFERROR(IF(ISNUMBER(INDEX(Species!$O$2:$O$300,$R60)),ord_floor+(ord_ceil-ord_floor)*(INDEX(Species!$O$2:$O$300,$R60)-1)/9,""),"")</f>
        <v>10</v>
      </c>
      <c r="N60" s="10" t="n">
        <f aca="false">IFERROR(IF(ISNUMBER(INDEX(Species!$P$2:$P$300,$R60)),ord_floor+(ord_ceil-ord_floor)*(INDEX(Species!$P$2:$P$300,$R60)-1)/4,""),"")</f>
        <v>30</v>
      </c>
      <c r="O60" s="10" t="n">
        <f aca="false">IFERROR(IF(ISNUMBER(INDEX(onset_ord,MATCH(INDEX(Species!$Q$2:$Q$300,$R60),onset_labels,0))),ord_floor+(ord_ceil-ord_floor)*(IF(onset_dir="mortality",6-INDEX(onset_ord,MATCH(INDEX(Species!$Q$2:$Q$300,$R60),onset_labels,0)),INDEX(onset_ord,MATCH(INDEX(Species!$Q$2:$Q$300,$R60),onset_labels,0)))-1)/4,""),"")</f>
        <v>50</v>
      </c>
      <c r="P60" s="10" t="n">
        <f aca="false">IFERROR(IF(ISNUMBER(INDEX(access_ord,MATCH(INDEX(Species!$R$2:$R$300,$R60),access_labels,0))),ord_floor+(ord_ceil-ord_floor)*(INDEX(access_ord,MATCH(INDEX(Species!$R$2:$R$300,$R60),access_labels,0))-1)/4,""),"")</f>
        <v>50</v>
      </c>
      <c r="Q60" s="5" t="n">
        <f aca="false">ISNUMBER(M60)*(w_enc&gt;0)+ISNUMBER(N60)*(w_bite&gt;0)+ISNUMBER(O60)*(w_onset&gt;0)+ISNUMBER(P60)*(w_access&gt;0)</f>
        <v>4</v>
      </c>
      <c r="R60" s="11" t="n">
        <f aca="false">IFERROR(MATCH($A60,Species!$A$2:$A$300,0),"")</f>
        <v>48</v>
      </c>
    </row>
    <row r="61" customFormat="false" ht="14.25" hidden="false" customHeight="true" outlineLevel="0" collapsed="false">
      <c r="A61" s="4" t="s">
        <v>77</v>
      </c>
      <c r="B61" s="5" t="str">
        <f aca="false">IFERROR(INDEX(Species!$B$2:$B$300,$R61),"NOT IN SPECIES")</f>
        <v>Urutu</v>
      </c>
      <c r="C61" s="6" t="n">
        <f aca="false">IF(w_pot+w_qty&lt;=0,"",IF(AND(OR(w_pot=0,ISNUMBER(K61)),OR(w_qty=0,ISNUMBER(L61))),(w_pot*N(K61)+w_qty*N(L61))/(w_pot*ISNUMBER(K61)+w_qty*ISNUMBER(L61)),IF(ISNUMBER(K61),"needs yield","needs LD50")))</f>
        <v>47.6879693027949</v>
      </c>
      <c r="D61" s="7" t="n">
        <f aca="false">IF(ISNUMBER(C61),RANK(C61,$C$2:$C$300),"")</f>
        <v>66</v>
      </c>
      <c r="E61" s="6" t="n">
        <f aca="false">IF(w_enc+w_bite+w_onset+w_access&lt;=0,"",IF(Q61&lt;min_dims,"insufficient data",(w_enc*N(M61)+w_bite*N(N61)+w_onset*N(O61)+w_access*N(P61))/(w_enc*ISNUMBER(M61)+w_bite*ISNUMBER(N61)+w_onset*ISNUMBER(O61)+w_access*ISNUMBER(P61))))</f>
        <v>57.8632478632479</v>
      </c>
      <c r="F61" s="7" t="n">
        <f aca="false">IF(ISNUMBER(E61),RANK(E61,$E$2:$E$300),"")</f>
        <v>10</v>
      </c>
      <c r="G61" s="8" t="str">
        <f aca="false">IFERROR(IF(OR(INDEX(Species!$I$2:$I$300,$R61)="",INDEX(Species!$M$2:$M$300,$R61)=""),"",CHAR(MAX(CODE(INDEX(Species!$I$2:$I$300,$R61)),CODE(INDEX(Species!$M$2:$M$300,$R61))))),"")</f>
        <v>C</v>
      </c>
      <c r="H61" s="9" t="str">
        <f aca="false">IFERROR(MID(IF(AND(ISNUMBER(INDEX(Species!$J$2:$J$300,$R61)),N(INDEX(Species!$J$2:$J$300,$R61))&gt;1.5),"; LD50 sources differ "&amp;TEXT(INDEX(Species!$J$2:$J$300,$R61),"0.0")&amp;"x","")&amp;IF(AND(INDEX(Species!$H$2:$H$300,$R61)&lt;&gt;"",INDEX(Species!$H$2:$H$300,$R61)&lt;&gt;"SC"),"; LD50 route "&amp;INDEX(Species!$H$2:$H$300,$R61),"")&amp;IF(INDEX(Species!$I$2:$I$300,$R61)="D","; LD50 Tier D","")&amp;IF(AND(ISNUMBER(INDEX(Species!$N$2:$N$300,$R61)),N(INDEX(Species!$N$2:$N$300,$R61))&gt;1.5),"; yield sources differ "&amp;TEXT(INDEX(Species!$N$2:$N$300,$R61),"0.0")&amp;"x","")&amp;IF(INDEX(Species!$M$2:$M$300,$R61)="D","; yield Tier D",""),3,300),"")</f>
        <v/>
      </c>
      <c r="I61" s="5" t="str">
        <f aca="false">IFERROR(INDEX(Species!$S$2:$S$300,$R61)&amp;"","")</f>
        <v/>
      </c>
      <c r="J61" s="5" t="str">
        <f aca="false">IFERROR(INDEX(Species!$T$2:$T$300,$R61)&amp;"","")</f>
        <v/>
      </c>
      <c r="K61" s="10" t="n">
        <f aca="false">IFERROR(MEDIAN(0,100*(LOG10(ld_least)-LOG10(INDEX(Species!$G$2:$G$300,$R61)))/(LOG10(ld_least)-LOG10(ld_most)),100),"")</f>
        <v>27.9738227943958</v>
      </c>
      <c r="L61" s="10" t="n">
        <f aca="false">IFERROR(MEDIAN(0,100*(LOG10(INDEX(Species!$L$2:$L$300,$R61))-LOG10(y_min))/(LOG10(y_max)-LOG10(y_min)),100),"")</f>
        <v>67.4021158111939</v>
      </c>
      <c r="M61" s="10" t="n">
        <f aca="false">IFERROR(IF(ISNUMBER(INDEX(Species!$O$2:$O$300,$R61)),ord_floor+(ord_ceil-ord_floor)*(INDEX(Species!$O$2:$O$300,$R61)-1)/9,""),"")</f>
        <v>54.4444444444444</v>
      </c>
      <c r="N61" s="10" t="n">
        <f aca="false">IFERROR(IF(ISNUMBER(INDEX(Species!$P$2:$P$300,$R61)),ord_floor+(ord_ceil-ord_floor)*(INDEX(Species!$P$2:$P$300,$R61)-1)/4,""),"")</f>
        <v>50</v>
      </c>
      <c r="O61" s="10" t="n">
        <f aca="false">IFERROR(IF(ISNUMBER(INDEX(onset_ord,MATCH(INDEX(Species!$Q$2:$Q$300,$R61),onset_labels,0))),ord_floor+(ord_ceil-ord_floor)*(IF(onset_dir="mortality",6-INDEX(onset_ord,MATCH(INDEX(Species!$Q$2:$Q$300,$R61),onset_labels,0)),INDEX(onset_ord,MATCH(INDEX(Species!$Q$2:$Q$300,$R61),onset_labels,0)))-1)/4,""),"")</f>
        <v>90</v>
      </c>
      <c r="P61" s="10" t="n">
        <f aca="false">IFERROR(IF(ISNUMBER(INDEX(access_ord,MATCH(INDEX(Species!$R$2:$R$300,$R61),access_labels,0))),ord_floor+(ord_ceil-ord_floor)*(INDEX(access_ord,MATCH(INDEX(Species!$R$2:$R$300,$R61),access_labels,0))-1)/4,""),"")</f>
        <v>30</v>
      </c>
      <c r="Q61" s="5" t="n">
        <f aca="false">ISNUMBER(M61)*(w_enc&gt;0)+ISNUMBER(N61)*(w_bite&gt;0)+ISNUMBER(O61)*(w_onset&gt;0)+ISNUMBER(P61)*(w_access&gt;0)</f>
        <v>4</v>
      </c>
      <c r="R61" s="11" t="n">
        <f aca="false">IFERROR(MATCH($A61,Species!$A$2:$A$300,0),"")</f>
        <v>41</v>
      </c>
    </row>
    <row r="62" customFormat="false" ht="14.25" hidden="false" customHeight="true" outlineLevel="0" collapsed="false">
      <c r="A62" s="4" t="s">
        <v>78</v>
      </c>
      <c r="B62" s="5" t="str">
        <f aca="false">IFERROR(INDEX(Species!$B$2:$B$300,$R62),"NOT IN SPECIES")</f>
        <v>Harlequin coral snake</v>
      </c>
      <c r="C62" s="6" t="n">
        <f aca="false">IF(w_pot+w_qty&lt;=0,"",IF(AND(OR(w_pot=0,ISNUMBER(K62)),OR(w_qty=0,ISNUMBER(L62))),(w_pot*N(K62)+w_qty*N(L62))/(w_pot*ISNUMBER(K62)+w_qty*ISNUMBER(L62)),IF(ISNUMBER(K62),"needs yield","needs LD50")))</f>
        <v>48.3465429891341</v>
      </c>
      <c r="D62" s="7" t="n">
        <f aca="false">IF(ISNUMBER(C62),RANK(C62,$C$2:$C$300),"")</f>
        <v>65</v>
      </c>
      <c r="E62" s="6" t="n">
        <f aca="false">IF(w_enc+w_bite+w_onset+w_access&lt;=0,"",IF(Q62&lt;min_dims,"insufficient data",(w_enc*N(M62)+w_bite*N(N62)+w_onset*N(O62)+w_access*N(P62))/(w_enc*ISNUMBER(M62)+w_bite*ISNUMBER(N62)+w_onset*ISNUMBER(O62)+w_access*ISNUMBER(P62))))</f>
        <v>33.4188034188034</v>
      </c>
      <c r="F62" s="7" t="n">
        <f aca="false">IF(ISNUMBER(E62),RANK(E62,$E$2:$E$300),"")</f>
        <v>74</v>
      </c>
      <c r="G62" s="8" t="str">
        <f aca="false">IFERROR(IF(OR(INDEX(Species!$I$2:$I$300,$R62)="",INDEX(Species!$M$2:$M$300,$R62)=""),"",CHAR(MAX(CODE(INDEX(Species!$I$2:$I$300,$R62)),CODE(INDEX(Species!$M$2:$M$300,$R62))))),"")</f>
        <v>C</v>
      </c>
      <c r="H62" s="9" t="str">
        <f aca="false">IFERROR(MID(IF(AND(ISNUMBER(INDEX(Species!$J$2:$J$300,$R62)),N(INDEX(Species!$J$2:$J$300,$R62))&gt;1.5),"; LD50 sources differ "&amp;TEXT(INDEX(Species!$J$2:$J$300,$R62),"0.0")&amp;"x","")&amp;IF(AND(INDEX(Species!$H$2:$H$300,$R62)&lt;&gt;"",INDEX(Species!$H$2:$H$300,$R62)&lt;&gt;"SC"),"; LD50 route "&amp;INDEX(Species!$H$2:$H$300,$R62),"")&amp;IF(INDEX(Species!$I$2:$I$300,$R62)="D","; LD50 Tier D","")&amp;IF(AND(ISNUMBER(INDEX(Species!$N$2:$N$300,$R62)),N(INDEX(Species!$N$2:$N$300,$R62))&gt;1.5),"; yield sources differ "&amp;TEXT(INDEX(Species!$N$2:$N$300,$R62),"0.0")&amp;"x","")&amp;IF(INDEX(Species!$M$2:$M$300,$R62)="D","; yield Tier D",""),3,300),"")</f>
        <v/>
      </c>
      <c r="I62" s="5" t="str">
        <f aca="false">IFERROR(INDEX(Species!$S$2:$S$300,$R62)&amp;"","")</f>
        <v/>
      </c>
      <c r="J62" s="5" t="str">
        <f aca="false">IFERROR(INDEX(Species!$T$2:$T$300,$R62)&amp;"","")</f>
        <v/>
      </c>
      <c r="K62" s="10" t="n">
        <f aca="false">IFERROR(MEDIAN(0,100*(LOG10(ld_least)-LOG10(INDEX(Species!$G$2:$G$300,$R62)))/(LOG10(ld_least)-LOG10(ld_most)),100),"")</f>
        <v>69.9852458556819</v>
      </c>
      <c r="L62" s="10" t="n">
        <f aca="false">IFERROR(MEDIAN(0,100*(LOG10(INDEX(Species!$L$2:$L$300,$R62))-LOG10(y_min))/(LOG10(y_max)-LOG10(y_min)),100),"")</f>
        <v>26.7078401225863</v>
      </c>
      <c r="M62" s="10" t="n">
        <f aca="false">IFERROR(IF(ISNUMBER(INDEX(Species!$O$2:$O$300,$R62)),ord_floor+(ord_ceil-ord_floor)*(INDEX(Species!$O$2:$O$300,$R62)-1)/9,""),"")</f>
        <v>18.8888888888889</v>
      </c>
      <c r="N62" s="10" t="n">
        <f aca="false">IFERROR(IF(ISNUMBER(INDEX(Species!$P$2:$P$300,$R62)),ord_floor+(ord_ceil-ord_floor)*(INDEX(Species!$P$2:$P$300,$R62)-1)/4,""),"")</f>
        <v>30</v>
      </c>
      <c r="O62" s="10" t="n">
        <f aca="false">IFERROR(IF(ISNUMBER(INDEX(onset_ord,MATCH(INDEX(Species!$Q$2:$Q$300,$R62),onset_labels,0))),ord_floor+(ord_ceil-ord_floor)*(IF(onset_dir="mortality",6-INDEX(onset_ord,MATCH(INDEX(Species!$Q$2:$Q$300,$R62),onset_labels,0)),INDEX(onset_ord,MATCH(INDEX(Species!$Q$2:$Q$300,$R62),onset_labels,0)))-1)/4,""),"")</f>
        <v>50</v>
      </c>
      <c r="P62" s="10" t="n">
        <f aca="false">IFERROR(IF(ISNUMBER(INDEX(access_ord,MATCH(INDEX(Species!$R$2:$R$300,$R62),access_labels,0))),ord_floor+(ord_ceil-ord_floor)*(INDEX(access_ord,MATCH(INDEX(Species!$R$2:$R$300,$R62),access_labels,0))-1)/4,""),"")</f>
        <v>50</v>
      </c>
      <c r="Q62" s="5" t="n">
        <f aca="false">ISNUMBER(M62)*(w_enc&gt;0)+ISNUMBER(N62)*(w_bite&gt;0)+ISNUMBER(O62)*(w_onset&gt;0)+ISNUMBER(P62)*(w_access&gt;0)</f>
        <v>4</v>
      </c>
      <c r="R62" s="11" t="n">
        <f aca="false">IFERROR(MATCH($A62,Species!$A$2:$A$300,0),"")</f>
        <v>44</v>
      </c>
    </row>
    <row r="63" customFormat="false" ht="14.25" hidden="false" customHeight="true" outlineLevel="0" collapsed="false">
      <c r="A63" s="4" t="s">
        <v>79</v>
      </c>
      <c r="B63" s="5" t="str">
        <f aca="false">IFERROR(INDEX(Species!$B$2:$B$300,$R63),"NOT IN SPECIES")</f>
        <v>Annulated sea snake</v>
      </c>
      <c r="C63" s="6" t="n">
        <f aca="false">IF(w_pot+w_qty&lt;=0,"",IF(AND(OR(w_pot=0,ISNUMBER(K63)),OR(w_qty=0,ISNUMBER(L63))),(w_pot*N(K63)+w_qty*N(L63))/(w_pot*ISNUMBER(K63)+w_qty*ISNUMBER(L63)),IF(ISNUMBER(K63),"needs yield","needs LD50")))</f>
        <v>46.4336399898073</v>
      </c>
      <c r="D63" s="7" t="n">
        <f aca="false">IF(ISNUMBER(C63),RANK(C63,$C$2:$C$300),"")</f>
        <v>67</v>
      </c>
      <c r="E63" s="6" t="n">
        <f aca="false">IF(w_enc+w_bite+w_onset+w_access&lt;=0,"",IF(Q63&lt;min_dims,"insufficient data",(w_enc*N(M63)+w_bite*N(N63)+w_onset*N(O63)+w_access*N(P63))/(w_enc*ISNUMBER(M63)+w_bite*ISNUMBER(N63)+w_onset*ISNUMBER(O63)+w_access*ISNUMBER(P63))))</f>
        <v>25.3846153846154</v>
      </c>
      <c r="F63" s="7" t="n">
        <f aca="false">IF(ISNUMBER(E63),RANK(E63,$E$2:$E$300),"")</f>
        <v>84</v>
      </c>
      <c r="G63" s="8" t="str">
        <f aca="false">IFERROR(IF(OR(INDEX(Species!$I$2:$I$300,$R63)="",INDEX(Species!$M$2:$M$300,$R63)=""),"",CHAR(MAX(CODE(INDEX(Species!$I$2:$I$300,$R63)),CODE(INDEX(Species!$M$2:$M$300,$R63))))),"")</f>
        <v>C</v>
      </c>
      <c r="H63" s="9" t="str">
        <f aca="false">IFERROR(MID(IF(AND(ISNUMBER(INDEX(Species!$J$2:$J$300,$R63)),N(INDEX(Species!$J$2:$J$300,$R63))&gt;1.5),"; LD50 sources differ "&amp;TEXT(INDEX(Species!$J$2:$J$300,$R63),"0.0")&amp;"x","")&amp;IF(AND(INDEX(Species!$H$2:$H$300,$R63)&lt;&gt;"",INDEX(Species!$H$2:$H$300,$R63)&lt;&gt;"SC"),"; LD50 route "&amp;INDEX(Species!$H$2:$H$300,$R63),"")&amp;IF(INDEX(Species!$I$2:$I$300,$R63)="D","; LD50 Tier D","")&amp;IF(AND(ISNUMBER(INDEX(Species!$N$2:$N$300,$R63)),N(INDEX(Species!$N$2:$N$300,$R63))&gt;1.5),"; yield sources differ "&amp;TEXT(INDEX(Species!$N$2:$N$300,$R63),"0.0")&amp;"x","")&amp;IF(INDEX(Species!$M$2:$M$300,$R63)="D","; yield Tier D",""),3,300),"")</f>
        <v/>
      </c>
      <c r="I63" s="5" t="str">
        <f aca="false">IFERROR(INDEX(Species!$S$2:$S$300,$R63)&amp;"","")</f>
        <v/>
      </c>
      <c r="J63" s="5" t="str">
        <f aca="false">IFERROR(INDEX(Species!$T$2:$T$300,$R63)&amp;"","")</f>
        <v/>
      </c>
      <c r="K63" s="10" t="n">
        <f aca="false">IFERROR(MEDIAN(0,100*(LOG10(ld_least)-LOG10(INDEX(Species!$G$2:$G$300,$R63)))/(LOG10(ld_least)-LOG10(ld_most)),100),"")</f>
        <v>59.7748715723325</v>
      </c>
      <c r="L63" s="10" t="n">
        <f aca="false">IFERROR(MEDIAN(0,100*(LOG10(INDEX(Species!$L$2:$L$300,$R63))-LOG10(y_min))/(LOG10(y_max)-LOG10(y_min)),100),"")</f>
        <v>33.092408407282</v>
      </c>
      <c r="M63" s="10" t="n">
        <f aca="false">IFERROR(IF(ISNUMBER(INDEX(Species!$O$2:$O$300,$R63)),ord_floor+(ord_ceil-ord_floor)*(INDEX(Species!$O$2:$O$300,$R63)-1)/9,""),"")</f>
        <v>10</v>
      </c>
      <c r="N63" s="10" t="n">
        <f aca="false">IFERROR(IF(ISNUMBER(INDEX(Species!$P$2:$P$300,$R63)),ord_floor+(ord_ceil-ord_floor)*(INDEX(Species!$P$2:$P$300,$R63)-1)/4,""),"")</f>
        <v>10</v>
      </c>
      <c r="O63" s="10" t="n">
        <f aca="false">IFERROR(IF(ISNUMBER(INDEX(onset_ord,MATCH(INDEX(Species!$Q$2:$Q$300,$R63),onset_labels,0))),ord_floor+(ord_ceil-ord_floor)*(IF(onset_dir="mortality",6-INDEX(onset_ord,MATCH(INDEX(Species!$Q$2:$Q$300,$R63),onset_labels,0)),INDEX(onset_ord,MATCH(INDEX(Species!$Q$2:$Q$300,$R63),onset_labels,0)))-1)/4,""),"")</f>
        <v>50</v>
      </c>
      <c r="P63" s="10" t="n">
        <f aca="false">IFERROR(IF(ISNUMBER(INDEX(access_ord,MATCH(INDEX(Species!$R$2:$R$300,$R63),access_labels,0))),ord_floor+(ord_ceil-ord_floor)*(INDEX(access_ord,MATCH(INDEX(Species!$R$2:$R$300,$R63),access_labels,0))-1)/4,""),"")</f>
        <v>50</v>
      </c>
      <c r="Q63" s="5" t="n">
        <f aca="false">ISNUMBER(M63)*(w_enc&gt;0)+ISNUMBER(N63)*(w_bite&gt;0)+ISNUMBER(O63)*(w_onset&gt;0)+ISNUMBER(P63)*(w_access&gt;0)</f>
        <v>4</v>
      </c>
      <c r="R63" s="11" t="n">
        <f aca="false">IFERROR(MATCH($A63,Species!$A$2:$A$300,0),"")</f>
        <v>62</v>
      </c>
    </row>
    <row r="64" customFormat="false" ht="14.25" hidden="false" customHeight="true" outlineLevel="0" collapsed="false">
      <c r="A64" s="4" t="s">
        <v>80</v>
      </c>
      <c r="B64" s="5" t="str">
        <f aca="false">IFERROR(INDEX(Species!$B$2:$B$300,$R64),"NOT IN SPECIES")</f>
        <v>Hardwicke's sea snake</v>
      </c>
      <c r="C64" s="6" t="n">
        <f aca="false">IF(w_pot+w_qty&lt;=0,"",IF(AND(OR(w_pot=0,ISNUMBER(K64)),OR(w_qty=0,ISNUMBER(L64))),(w_pot*N(K64)+w_qty*N(L64))/(w_pot*ISNUMBER(K64)+w_qty*ISNUMBER(L64)),IF(ISNUMBER(K64),"needs yield","needs LD50")))</f>
        <v>45.486961218742</v>
      </c>
      <c r="D64" s="7" t="n">
        <f aca="false">IF(ISNUMBER(C64),RANK(C64,$C$2:$C$300),"")</f>
        <v>68</v>
      </c>
      <c r="E64" s="6" t="n">
        <f aca="false">IF(w_enc+w_bite+w_onset+w_access&lt;=0,"",IF(Q64&lt;min_dims,"insufficient data",(w_enc*N(M64)+w_bite*N(N64)+w_onset*N(O64)+w_access*N(P64))/(w_enc*ISNUMBER(M64)+w_bite*ISNUMBER(N64)+w_onset*ISNUMBER(O64)+w_access*ISNUMBER(P64))))</f>
        <v>25.3846153846154</v>
      </c>
      <c r="F64" s="7" t="n">
        <f aca="false">IF(ISNUMBER(E64),RANK(E64,$E$2:$E$300),"")</f>
        <v>84</v>
      </c>
      <c r="G64" s="8" t="str">
        <f aca="false">IFERROR(IF(OR(INDEX(Species!$I$2:$I$300,$R64)="",INDEX(Species!$M$2:$M$300,$R64)=""),"",CHAR(MAX(CODE(INDEX(Species!$I$2:$I$300,$R64)),CODE(INDEX(Species!$M$2:$M$300,$R64))))),"")</f>
        <v>C</v>
      </c>
      <c r="H64" s="9" t="str">
        <f aca="false">IFERROR(MID(IF(AND(ISNUMBER(INDEX(Species!$J$2:$J$300,$R64)),N(INDEX(Species!$J$2:$J$300,$R64))&gt;1.5),"; LD50 sources differ "&amp;TEXT(INDEX(Species!$J$2:$J$300,$R64),"0.0")&amp;"x","")&amp;IF(AND(INDEX(Species!$H$2:$H$300,$R64)&lt;&gt;"",INDEX(Species!$H$2:$H$300,$R64)&lt;&gt;"SC"),"; LD50 route "&amp;INDEX(Species!$H$2:$H$300,$R64),"")&amp;IF(INDEX(Species!$I$2:$I$300,$R64)="D","; LD50 Tier D","")&amp;IF(AND(ISNUMBER(INDEX(Species!$N$2:$N$300,$R64)),N(INDEX(Species!$N$2:$N$300,$R64))&gt;1.5),"; yield sources differ "&amp;TEXT(INDEX(Species!$N$2:$N$300,$R64),"0.0")&amp;"x","")&amp;IF(INDEX(Species!$M$2:$M$300,$R64)="D","; yield Tier D",""),3,300),"")</f>
        <v/>
      </c>
      <c r="I64" s="5" t="str">
        <f aca="false">IFERROR(INDEX(Species!$S$2:$S$300,$R64)&amp;"","")</f>
        <v/>
      </c>
      <c r="J64" s="5" t="str">
        <f aca="false">IFERROR(INDEX(Species!$T$2:$T$300,$R64)&amp;"","")</f>
        <v/>
      </c>
      <c r="K64" s="10" t="n">
        <f aca="false">IFERROR(MEDIAN(0,100*(LOG10(ld_least)-LOG10(INDEX(Species!$G$2:$G$300,$R64)))/(LOG10(ld_least)-LOG10(ld_most)),100),"")</f>
        <v>49.3424418599002</v>
      </c>
      <c r="L64" s="10" t="n">
        <f aca="false">IFERROR(MEDIAN(0,100*(LOG10(INDEX(Species!$L$2:$L$300,$R64))-LOG10(y_min))/(LOG10(y_max)-LOG10(y_min)),100),"")</f>
        <v>41.6314805775839</v>
      </c>
      <c r="M64" s="10" t="n">
        <f aca="false">IFERROR(IF(ISNUMBER(INDEX(Species!$O$2:$O$300,$R64)),ord_floor+(ord_ceil-ord_floor)*(INDEX(Species!$O$2:$O$300,$R64)-1)/9,""),"")</f>
        <v>10</v>
      </c>
      <c r="N64" s="10" t="n">
        <f aca="false">IFERROR(IF(ISNUMBER(INDEX(Species!$P$2:$P$300,$R64)),ord_floor+(ord_ceil-ord_floor)*(INDEX(Species!$P$2:$P$300,$R64)-1)/4,""),"")</f>
        <v>10</v>
      </c>
      <c r="O64" s="10" t="n">
        <f aca="false">IFERROR(IF(ISNUMBER(INDEX(onset_ord,MATCH(INDEX(Species!$Q$2:$Q$300,$R64),onset_labels,0))),ord_floor+(ord_ceil-ord_floor)*(IF(onset_dir="mortality",6-INDEX(onset_ord,MATCH(INDEX(Species!$Q$2:$Q$300,$R64),onset_labels,0)),INDEX(onset_ord,MATCH(INDEX(Species!$Q$2:$Q$300,$R64),onset_labels,0)))-1)/4,""),"")</f>
        <v>50</v>
      </c>
      <c r="P64" s="10" t="n">
        <f aca="false">IFERROR(IF(ISNUMBER(INDEX(access_ord,MATCH(INDEX(Species!$R$2:$R$300,$R64),access_labels,0))),ord_floor+(ord_ceil-ord_floor)*(INDEX(access_ord,MATCH(INDEX(Species!$R$2:$R$300,$R64),access_labels,0))-1)/4,""),"")</f>
        <v>50</v>
      </c>
      <c r="Q64" s="5" t="n">
        <f aca="false">ISNUMBER(M64)*(w_enc&gt;0)+ISNUMBER(N64)*(w_bite&gt;0)+ISNUMBER(O64)*(w_onset&gt;0)+ISNUMBER(P64)*(w_access&gt;0)</f>
        <v>4</v>
      </c>
      <c r="R64" s="11" t="n">
        <f aca="false">IFERROR(MATCH($A64,Species!$A$2:$A$300,0),"")</f>
        <v>46</v>
      </c>
    </row>
    <row r="65" customFormat="false" ht="14.25" hidden="false" customHeight="true" outlineLevel="0" collapsed="false">
      <c r="A65" s="4" t="s">
        <v>81</v>
      </c>
      <c r="B65" s="5" t="str">
        <f aca="false">IFERROR(INDEX(Species!$B$2:$B$300,$R65),"NOT IN SPECIES")</f>
        <v>Central American coral snake</v>
      </c>
      <c r="C65" s="6" t="n">
        <f aca="false">IF(w_pot+w_qty&lt;=0,"",IF(AND(OR(w_pot=0,ISNUMBER(K65)),OR(w_qty=0,ISNUMBER(L65))),(w_pot*N(K65)+w_qty*N(L65))/(w_pot*ISNUMBER(K65)+w_qty*ISNUMBER(L65)),IF(ISNUMBER(K65),"needs yield","needs LD50")))</f>
        <v>45.2154778804936</v>
      </c>
      <c r="D65" s="7" t="n">
        <f aca="false">IF(ISNUMBER(C65),RANK(C65,$C$2:$C$300),"")</f>
        <v>69</v>
      </c>
      <c r="E65" s="6" t="n">
        <f aca="false">IF(w_enc+w_bite+w_onset+w_access&lt;=0,"",IF(Q65&lt;min_dims,"insufficient data",(w_enc*N(M65)+w_bite*N(N65)+w_onset*N(O65)+w_access*N(P65))/(w_enc*ISNUMBER(M65)+w_bite*ISNUMBER(N65)+w_onset*ISNUMBER(O65)+w_access*ISNUMBER(P65))))</f>
        <v>38.3760683760684</v>
      </c>
      <c r="F65" s="7" t="n">
        <f aca="false">IF(ISNUMBER(E65),RANK(E65,$E$2:$E$300),"")</f>
        <v>62</v>
      </c>
      <c r="G65" s="8" t="str">
        <f aca="false">IFERROR(IF(OR(INDEX(Species!$I$2:$I$300,$R65)="",INDEX(Species!$M$2:$M$300,$R65)=""),"",CHAR(MAX(CODE(INDEX(Species!$I$2:$I$300,$R65)),CODE(INDEX(Species!$M$2:$M$300,$R65))))),"")</f>
        <v>C</v>
      </c>
      <c r="H65" s="9" t="str">
        <f aca="false">IFERROR(MID(IF(AND(ISNUMBER(INDEX(Species!$J$2:$J$300,$R65)),N(INDEX(Species!$J$2:$J$300,$R65))&gt;1.5),"; LD50 sources differ "&amp;TEXT(INDEX(Species!$J$2:$J$300,$R65),"0.0")&amp;"x","")&amp;IF(AND(INDEX(Species!$H$2:$H$300,$R65)&lt;&gt;"",INDEX(Species!$H$2:$H$300,$R65)&lt;&gt;"SC"),"; LD50 route "&amp;INDEX(Species!$H$2:$H$300,$R65),"")&amp;IF(INDEX(Species!$I$2:$I$300,$R65)="D","; LD50 Tier D","")&amp;IF(AND(ISNUMBER(INDEX(Species!$N$2:$N$300,$R65)),N(INDEX(Species!$N$2:$N$300,$R65))&gt;1.5),"; yield sources differ "&amp;TEXT(INDEX(Species!$N$2:$N$300,$R65),"0.0")&amp;"x","")&amp;IF(INDEX(Species!$M$2:$M$300,$R65)="D","; yield Tier D",""),3,300),"")</f>
        <v/>
      </c>
      <c r="I65" s="5" t="str">
        <f aca="false">IFERROR(INDEX(Species!$S$2:$S$300,$R65)&amp;"","")</f>
        <v/>
      </c>
      <c r="J65" s="5" t="str">
        <f aca="false">IFERROR(INDEX(Species!$T$2:$T$300,$R65)&amp;"","")</f>
        <v/>
      </c>
      <c r="K65" s="10" t="n">
        <f aca="false">IFERROR(MEDIAN(0,100*(LOG10(ld_least)-LOG10(INDEX(Species!$G$2:$G$300,$R65)))/(LOG10(ld_least)-LOG10(ld_most)),100),"")</f>
        <v>57.3385473537053</v>
      </c>
      <c r="L65" s="10" t="n">
        <f aca="false">IFERROR(MEDIAN(0,100*(LOG10(INDEX(Species!$L$2:$L$300,$R65))-LOG10(y_min))/(LOG10(y_max)-LOG10(y_min)),100),"")</f>
        <v>33.092408407282</v>
      </c>
      <c r="M65" s="10" t="n">
        <f aca="false">IFERROR(IF(ISNUMBER(INDEX(Species!$O$2:$O$300,$R65)),ord_floor+(ord_ceil-ord_floor)*(INDEX(Species!$O$2:$O$300,$R65)-1)/9,""),"")</f>
        <v>27.7777777777778</v>
      </c>
      <c r="N65" s="10" t="n">
        <f aca="false">IFERROR(IF(ISNUMBER(INDEX(Species!$P$2:$P$300,$R65)),ord_floor+(ord_ceil-ord_floor)*(INDEX(Species!$P$2:$P$300,$R65)-1)/4,""),"")</f>
        <v>30</v>
      </c>
      <c r="O65" s="10" t="n">
        <f aca="false">IFERROR(IF(ISNUMBER(INDEX(onset_ord,MATCH(INDEX(Species!$Q$2:$Q$300,$R65),onset_labels,0))),ord_floor+(ord_ceil-ord_floor)*(IF(onset_dir="mortality",6-INDEX(onset_ord,MATCH(INDEX(Species!$Q$2:$Q$300,$R65),onset_labels,0)),INDEX(onset_ord,MATCH(INDEX(Species!$Q$2:$Q$300,$R65),onset_labels,0)))-1)/4,""),"")</f>
        <v>70</v>
      </c>
      <c r="P65" s="10" t="n">
        <f aca="false">IFERROR(IF(ISNUMBER(INDEX(access_ord,MATCH(INDEX(Species!$R$2:$R$300,$R65),access_labels,0))),ord_floor+(ord_ceil-ord_floor)*(INDEX(access_ord,MATCH(INDEX(Species!$R$2:$R$300,$R65),access_labels,0))-1)/4,""),"")</f>
        <v>30</v>
      </c>
      <c r="Q65" s="5" t="n">
        <f aca="false">ISNUMBER(M65)*(w_enc&gt;0)+ISNUMBER(N65)*(w_bite&gt;0)+ISNUMBER(O65)*(w_onset&gt;0)+ISNUMBER(P65)*(w_access&gt;0)</f>
        <v>4</v>
      </c>
      <c r="R65" s="11" t="n">
        <f aca="false">IFERROR(MATCH($A65,Species!$A$2:$A$300,0),"")</f>
        <v>86</v>
      </c>
    </row>
    <row r="66" customFormat="false" ht="14.25" hidden="false" customHeight="true" outlineLevel="0" collapsed="false">
      <c r="A66" s="4" t="s">
        <v>82</v>
      </c>
      <c r="B66" s="5" t="str">
        <f aca="false">IFERROR(INDEX(Species!$B$2:$B$300,$R66),"NOT IN SPECIES")</f>
        <v>Jumping pit viper</v>
      </c>
      <c r="C66" s="6" t="n">
        <f aca="false">IF(w_pot+w_qty&lt;=0,"",IF(AND(OR(w_pot=0,ISNUMBER(K66)),OR(w_qty=0,ISNUMBER(L66))),(w_pot*N(K66)+w_qty*N(L66))/(w_pot*ISNUMBER(K66)+w_qty*ISNUMBER(L66)),IF(ISNUMBER(K66),"needs yield","needs LD50")))</f>
        <v>42.5551620675373</v>
      </c>
      <c r="D66" s="7" t="n">
        <f aca="false">IF(ISNUMBER(C66),RANK(C66,$C$2:$C$300),"")</f>
        <v>70</v>
      </c>
      <c r="E66" s="6" t="n">
        <f aca="false">IF(w_enc+w_bite+w_onset+w_access&lt;=0,"",IF(Q66&lt;min_dims,"insufficient data",(w_enc*N(M66)+w_bite*N(N66)+w_onset*N(O66)+w_access*N(P66))/(w_enc*ISNUMBER(M66)+w_bite*ISNUMBER(N66)+w_onset*ISNUMBER(O66)+w_access*ISNUMBER(P66))))</f>
        <v>55.6410256410256</v>
      </c>
      <c r="F66" s="7" t="n">
        <f aca="false">IF(ISNUMBER(E66),RANK(E66,$E$2:$E$300),"")</f>
        <v>15</v>
      </c>
      <c r="G66" s="8" t="str">
        <f aca="false">IFERROR(IF(OR(INDEX(Species!$I$2:$I$300,$R66)="",INDEX(Species!$M$2:$M$300,$R66)=""),"",CHAR(MAX(CODE(INDEX(Species!$I$2:$I$300,$R66)),CODE(INDEX(Species!$M$2:$M$300,$R66))))),"")</f>
        <v>C</v>
      </c>
      <c r="H66" s="9" t="str">
        <f aca="false">IFERROR(MID(IF(AND(ISNUMBER(INDEX(Species!$J$2:$J$300,$R66)),N(INDEX(Species!$J$2:$J$300,$R66))&gt;1.5),"; LD50 sources differ "&amp;TEXT(INDEX(Species!$J$2:$J$300,$R66),"0.0")&amp;"x","")&amp;IF(AND(INDEX(Species!$H$2:$H$300,$R66)&lt;&gt;"",INDEX(Species!$H$2:$H$300,$R66)&lt;&gt;"SC"),"; LD50 route "&amp;INDEX(Species!$H$2:$H$300,$R66),"")&amp;IF(INDEX(Species!$I$2:$I$300,$R66)="D","; LD50 Tier D","")&amp;IF(AND(ISNUMBER(INDEX(Species!$N$2:$N$300,$R66)),N(INDEX(Species!$N$2:$N$300,$R66))&gt;1.5),"; yield sources differ "&amp;TEXT(INDEX(Species!$N$2:$N$300,$R66),"0.0")&amp;"x","")&amp;IF(INDEX(Species!$M$2:$M$300,$R66)="D","; yield Tier D",""),3,300),"")</f>
        <v/>
      </c>
      <c r="I66" s="5" t="str">
        <f aca="false">IFERROR(INDEX(Species!$S$2:$S$300,$R66)&amp;"","")</f>
        <v/>
      </c>
      <c r="J66" s="5" t="str">
        <f aca="false">IFERROR(INDEX(Species!$T$2:$T$300,$R66)&amp;"","")</f>
        <v/>
      </c>
      <c r="K66" s="10" t="n">
        <f aca="false">IFERROR(MEDIAN(0,100*(LOG10(ld_least)-LOG10(INDEX(Species!$G$2:$G$300,$R66)))/(LOG10(ld_least)-LOG10(ld_most)),100),"")</f>
        <v>24.6473059681693</v>
      </c>
      <c r="L66" s="10" t="n">
        <f aca="false">IFERROR(MEDIAN(0,100*(LOG10(INDEX(Species!$L$2:$L$300,$R66))-LOG10(y_min))/(LOG10(y_max)-LOG10(y_min)),100),"")</f>
        <v>60.4630181669052</v>
      </c>
      <c r="M66" s="10" t="n">
        <f aca="false">IFERROR(IF(ISNUMBER(INDEX(Species!$O$2:$O$300,$R66)),ord_floor+(ord_ceil-ord_floor)*(INDEX(Species!$O$2:$O$300,$R66)-1)/9,""),"")</f>
        <v>36.6666666666667</v>
      </c>
      <c r="N66" s="10" t="n">
        <f aca="false">IFERROR(IF(ISNUMBER(INDEX(Species!$P$2:$P$300,$R66)),ord_floor+(ord_ceil-ord_floor)*(INDEX(Species!$P$2:$P$300,$R66)-1)/4,""),"")</f>
        <v>70</v>
      </c>
      <c r="O66" s="10" t="n">
        <f aca="false">IFERROR(IF(ISNUMBER(INDEX(onset_ord,MATCH(INDEX(Species!$Q$2:$Q$300,$R66),onset_labels,0))),ord_floor+(ord_ceil-ord_floor)*(IF(onset_dir="mortality",6-INDEX(onset_ord,MATCH(INDEX(Species!$Q$2:$Q$300,$R66),onset_labels,0)),INDEX(onset_ord,MATCH(INDEX(Species!$Q$2:$Q$300,$R66),onset_labels,0)))-1)/4,""),"")</f>
        <v>90</v>
      </c>
      <c r="P66" s="10" t="n">
        <f aca="false">IFERROR(IF(ISNUMBER(INDEX(access_ord,MATCH(INDEX(Species!$R$2:$R$300,$R66),access_labels,0))),ord_floor+(ord_ceil-ord_floor)*(INDEX(access_ord,MATCH(INDEX(Species!$R$2:$R$300,$R66),access_labels,0))-1)/4,""),"")</f>
        <v>30</v>
      </c>
      <c r="Q66" s="5" t="n">
        <f aca="false">ISNUMBER(M66)*(w_enc&gt;0)+ISNUMBER(N66)*(w_bite&gt;0)+ISNUMBER(O66)*(w_onset&gt;0)+ISNUMBER(P66)*(w_access&gt;0)</f>
        <v>4</v>
      </c>
      <c r="R66" s="11" t="n">
        <f aca="false">IFERROR(MATCH($A66,Species!$A$2:$A$300,0),"")</f>
        <v>45</v>
      </c>
    </row>
    <row r="67" customFormat="false" ht="14.25" hidden="false" customHeight="true" outlineLevel="0" collapsed="false">
      <c r="A67" s="4" t="s">
        <v>83</v>
      </c>
      <c r="B67" s="5" t="str">
        <f aca="false">IFERROR(INDEX(Species!$B$2:$B$300,$R67),"NOT IN SPECIES")</f>
        <v>Common blacksnake</v>
      </c>
      <c r="C67" s="6" t="n">
        <f aca="false">IF(w_pot+w_qty&lt;=0,"",IF(AND(OR(w_pot=0,ISNUMBER(K67)),OR(w_qty=0,ISNUMBER(L67))),(w_pot*N(K67)+w_qty*N(L67))/(w_pot*ISNUMBER(K67)+w_qty*ISNUMBER(L67)),IF(ISNUMBER(K67),"needs yield","needs LD50")))</f>
        <v>40.8717301885516</v>
      </c>
      <c r="D67" s="7" t="n">
        <f aca="false">IF(ISNUMBER(C67),RANK(C67,$C$2:$C$300),"")</f>
        <v>71</v>
      </c>
      <c r="E67" s="6" t="n">
        <f aca="false">IF(w_enc+w_bite+w_onset+w_access&lt;=0,"",IF(Q67&lt;min_dims,"insufficient data",(w_enc*N(M67)+w_bite*N(N67)+w_onset*N(O67)+w_access*N(P67))/(w_enc*ISNUMBER(M67)+w_bite*ISNUMBER(N67)+w_onset*ISNUMBER(O67)+w_access*ISNUMBER(P67))))</f>
        <v>40.9401709401709</v>
      </c>
      <c r="F67" s="7" t="n">
        <f aca="false">IF(ISNUMBER(E67),RANK(E67,$E$2:$E$300),"")</f>
        <v>53</v>
      </c>
      <c r="G67" s="8" t="str">
        <f aca="false">IFERROR(IF(OR(INDEX(Species!$I$2:$I$300,$R67)="",INDEX(Species!$M$2:$M$300,$R67)=""),"",CHAR(MAX(CODE(INDEX(Species!$I$2:$I$300,$R67)),CODE(INDEX(Species!$M$2:$M$300,$R67))))),"")</f>
        <v>C</v>
      </c>
      <c r="H67" s="9" t="str">
        <f aca="false">IFERROR(MID(IF(AND(ISNUMBER(INDEX(Species!$J$2:$J$300,$R67)),N(INDEX(Species!$J$2:$J$300,$R67))&gt;1.5),"; LD50 sources differ "&amp;TEXT(INDEX(Species!$J$2:$J$300,$R67),"0.0")&amp;"x","")&amp;IF(AND(INDEX(Species!$H$2:$H$300,$R67)&lt;&gt;"",INDEX(Species!$H$2:$H$300,$R67)&lt;&gt;"SC"),"; LD50 route "&amp;INDEX(Species!$H$2:$H$300,$R67),"")&amp;IF(INDEX(Species!$I$2:$I$300,$R67)="D","; LD50 Tier D","")&amp;IF(AND(ISNUMBER(INDEX(Species!$N$2:$N$300,$R67)),N(INDEX(Species!$N$2:$N$300,$R67))&gt;1.5),"; yield sources differ "&amp;TEXT(INDEX(Species!$N$2:$N$300,$R67),"0.0")&amp;"x","")&amp;IF(INDEX(Species!$M$2:$M$300,$R67)="D","; yield Tier D",""),3,300),"")</f>
        <v/>
      </c>
      <c r="I67" s="5" t="str">
        <f aca="false">IFERROR(INDEX(Species!$S$2:$S$300,$R67)&amp;"","")</f>
        <v/>
      </c>
      <c r="J67" s="5" t="str">
        <f aca="false">IFERROR(INDEX(Species!$T$2:$T$300,$R67)&amp;"","")</f>
        <v/>
      </c>
      <c r="K67" s="10" t="n">
        <f aca="false">IFERROR(MEDIAN(0,100*(LOG10(ld_least)-LOG10(INDEX(Species!$G$2:$G$300,$R67)))/(LOG10(ld_least)-LOG10(ld_most)),100),"")</f>
        <v>23.75711336057</v>
      </c>
      <c r="L67" s="10" t="n">
        <f aca="false">IFERROR(MEDIAN(0,100*(LOG10(INDEX(Species!$L$2:$L$300,$R67))-LOG10(y_min))/(LOG10(y_max)-LOG10(y_min)),100),"")</f>
        <v>57.9863470165333</v>
      </c>
      <c r="M67" s="10" t="n">
        <f aca="false">IFERROR(IF(ISNUMBER(INDEX(Species!$O$2:$O$300,$R67)),ord_floor+(ord_ceil-ord_floor)*(INDEX(Species!$O$2:$O$300,$R67)-1)/9,""),"")</f>
        <v>54.4444444444444</v>
      </c>
      <c r="N67" s="10" t="n">
        <f aca="false">IFERROR(IF(ISNUMBER(INDEX(Species!$P$2:$P$300,$R67)),ord_floor+(ord_ceil-ord_floor)*(INDEX(Species!$P$2:$P$300,$R67)-1)/4,""),"")</f>
        <v>30</v>
      </c>
      <c r="O67" s="10" t="n">
        <f aca="false">IFERROR(IF(ISNUMBER(INDEX(onset_ord,MATCH(INDEX(Species!$Q$2:$Q$300,$R67),onset_labels,0))),ord_floor+(ord_ceil-ord_floor)*(IF(onset_dir="mortality",6-INDEX(onset_ord,MATCH(INDEX(Species!$Q$2:$Q$300,$R67),onset_labels,0)),INDEX(onset_ord,MATCH(INDEX(Species!$Q$2:$Q$300,$R67),onset_labels,0)))-1)/4,""),"")</f>
        <v>50</v>
      </c>
      <c r="P67" s="10" t="n">
        <f aca="false">IFERROR(IF(ISNUMBER(INDEX(access_ord,MATCH(INDEX(Species!$R$2:$R$300,$R67),access_labels,0))),ord_floor+(ord_ceil-ord_floor)*(INDEX(access_ord,MATCH(INDEX(Species!$R$2:$R$300,$R67),access_labels,0))-1)/4,""),"")</f>
        <v>10</v>
      </c>
      <c r="Q67" s="5" t="n">
        <f aca="false">ISNUMBER(M67)*(w_enc&gt;0)+ISNUMBER(N67)*(w_bite&gt;0)+ISNUMBER(O67)*(w_onset&gt;0)+ISNUMBER(P67)*(w_access&gt;0)</f>
        <v>4</v>
      </c>
      <c r="R67" s="11" t="n">
        <f aca="false">IFERROR(MATCH($A67,Species!$A$2:$A$300,0),"")</f>
        <v>34</v>
      </c>
    </row>
    <row r="68" customFormat="false" ht="14.25" hidden="false" customHeight="true" outlineLevel="0" collapsed="false">
      <c r="A68" s="4" t="s">
        <v>84</v>
      </c>
      <c r="B68" s="5" t="str">
        <f aca="false">IFERROR(INDEX(Species!$B$2:$B$300,$R68),"NOT IN SPECIES")</f>
        <v>Sidewinder</v>
      </c>
      <c r="C68" s="6" t="n">
        <f aca="false">IF(w_pot+w_qty&lt;=0,"",IF(AND(OR(w_pot=0,ISNUMBER(K68)),OR(w_qty=0,ISNUMBER(L68))),(w_pot*N(K68)+w_qty*N(L68))/(w_pot*ISNUMBER(K68)+w_qty*ISNUMBER(L68)),IF(ISNUMBER(K68),"needs yield","needs LD50")))</f>
        <v>40.5866237160727</v>
      </c>
      <c r="D68" s="7" t="n">
        <f aca="false">IF(ISNUMBER(C68),RANK(C68,$C$2:$C$300),"")</f>
        <v>72</v>
      </c>
      <c r="E68" s="6" t="n">
        <f aca="false">IF(w_enc+w_bite+w_onset+w_access&lt;=0,"",IF(Q68&lt;min_dims,"insufficient data",(w_enc*N(M68)+w_bite*N(N68)+w_onset*N(O68)+w_access*N(P68))/(w_enc*ISNUMBER(M68)+w_bite*ISNUMBER(N68)+w_onset*ISNUMBER(O68)+w_access*ISNUMBER(P68))))</f>
        <v>36.4957264957265</v>
      </c>
      <c r="F68" s="7" t="n">
        <f aca="false">IF(ISNUMBER(E68),RANK(E68,$E$2:$E$300),"")</f>
        <v>71</v>
      </c>
      <c r="G68" s="8" t="str">
        <f aca="false">IFERROR(IF(OR(INDEX(Species!$I$2:$I$300,$R68)="",INDEX(Species!$M$2:$M$300,$R68)=""),"",CHAR(MAX(CODE(INDEX(Species!$I$2:$I$300,$R68)),CODE(INDEX(Species!$M$2:$M$300,$R68))))),"")</f>
        <v>C</v>
      </c>
      <c r="H68" s="9" t="str">
        <f aca="false">IFERROR(MID(IF(AND(ISNUMBER(INDEX(Species!$J$2:$J$300,$R68)),N(INDEX(Species!$J$2:$J$300,$R68))&gt;1.5),"; LD50 sources differ "&amp;TEXT(INDEX(Species!$J$2:$J$300,$R68),"0.0")&amp;"x","")&amp;IF(AND(INDEX(Species!$H$2:$H$300,$R68)&lt;&gt;"",INDEX(Species!$H$2:$H$300,$R68)&lt;&gt;"SC"),"; LD50 route "&amp;INDEX(Species!$H$2:$H$300,$R68),"")&amp;IF(INDEX(Species!$I$2:$I$300,$R68)="D","; LD50 Tier D","")&amp;IF(AND(ISNUMBER(INDEX(Species!$N$2:$N$300,$R68)),N(INDEX(Species!$N$2:$N$300,$R68))&gt;1.5),"; yield sources differ "&amp;TEXT(INDEX(Species!$N$2:$N$300,$R68),"0.0")&amp;"x","")&amp;IF(INDEX(Species!$M$2:$M$300,$R68)="D","; yield Tier D",""),3,300),"")</f>
        <v/>
      </c>
      <c r="I68" s="5" t="str">
        <f aca="false">IFERROR(INDEX(Species!$S$2:$S$300,$R68)&amp;"","")</f>
        <v/>
      </c>
      <c r="J68" s="5" t="str">
        <f aca="false">IFERROR(INDEX(Species!$T$2:$T$300,$R68)&amp;"","")</f>
        <v/>
      </c>
      <c r="K68" s="10" t="n">
        <f aca="false">IFERROR(MEDIAN(0,100*(LOG10(ld_least)-LOG10(INDEX(Species!$G$2:$G$300,$R68)))/(LOG10(ld_least)-LOG10(ld_most)),100),"")</f>
        <v>23.1869004156121</v>
      </c>
      <c r="L68" s="10" t="n">
        <f aca="false">IFERROR(MEDIAN(0,100*(LOG10(INDEX(Species!$L$2:$L$300,$R68))-LOG10(y_min))/(LOG10(y_max)-LOG10(y_min)),100),"")</f>
        <v>57.9863470165333</v>
      </c>
      <c r="M68" s="10" t="n">
        <f aca="false">IFERROR(IF(ISNUMBER(INDEX(Species!$O$2:$O$300,$R68)),ord_floor+(ord_ceil-ord_floor)*(INDEX(Species!$O$2:$O$300,$R68)-1)/9,""),"")</f>
        <v>18.8888888888889</v>
      </c>
      <c r="N68" s="10" t="n">
        <f aca="false">IFERROR(IF(ISNUMBER(INDEX(Species!$P$2:$P$300,$R68)),ord_floor+(ord_ceil-ord_floor)*(INDEX(Species!$P$2:$P$300,$R68)-1)/4,""),"")</f>
        <v>30</v>
      </c>
      <c r="O68" s="10" t="n">
        <f aca="false">IFERROR(IF(ISNUMBER(INDEX(onset_ord,MATCH(INDEX(Species!$Q$2:$Q$300,$R68),onset_labels,0))),ord_floor+(ord_ceil-ord_floor)*(IF(onset_dir="mortality",6-INDEX(onset_ord,MATCH(INDEX(Species!$Q$2:$Q$300,$R68),onset_labels,0)),INDEX(onset_ord,MATCH(INDEX(Species!$Q$2:$Q$300,$R68),onset_labels,0)))-1)/4,""),"")</f>
        <v>90</v>
      </c>
      <c r="P68" s="10" t="n">
        <f aca="false">IFERROR(IF(ISNUMBER(INDEX(access_ord,MATCH(INDEX(Species!$R$2:$R$300,$R68),access_labels,0))),ord_floor+(ord_ceil-ord_floor)*(INDEX(access_ord,MATCH(INDEX(Species!$R$2:$R$300,$R68),access_labels,0))-1)/4,""),"")</f>
        <v>10</v>
      </c>
      <c r="Q68" s="5" t="n">
        <f aca="false">ISNUMBER(M68)*(w_enc&gt;0)+ISNUMBER(N68)*(w_bite&gt;0)+ISNUMBER(O68)*(w_onset&gt;0)+ISNUMBER(P68)*(w_access&gt;0)</f>
        <v>4</v>
      </c>
      <c r="R68" s="11" t="n">
        <f aca="false">IFERROR(MATCH($A68,Species!$A$2:$A$300,0),"")</f>
        <v>47</v>
      </c>
    </row>
    <row r="69" customFormat="false" ht="14.25" hidden="false" customHeight="true" outlineLevel="0" collapsed="false">
      <c r="A69" s="4" t="s">
        <v>85</v>
      </c>
      <c r="B69" s="5" t="str">
        <f aca="false">IFERROR(INDEX(Species!$B$2:$B$300,$R69),"NOT IN SPECIES")</f>
        <v>Common night adder</v>
      </c>
      <c r="C69" s="6" t="n">
        <f aca="false">IF(w_pot+w_qty&lt;=0,"",IF(AND(OR(w_pot=0,ISNUMBER(K69)),OR(w_qty=0,ISNUMBER(L69))),(w_pot*N(K69)+w_qty*N(L69))/(w_pot*ISNUMBER(K69)+w_qty*ISNUMBER(L69)),IF(ISNUMBER(K69),"needs yield","needs LD50")))</f>
        <v>40.2217530783315</v>
      </c>
      <c r="D69" s="7" t="n">
        <f aca="false">IF(ISNUMBER(C69),RANK(C69,$C$2:$C$300),"")</f>
        <v>73</v>
      </c>
      <c r="E69" s="6" t="n">
        <f aca="false">IF(w_enc+w_bite+w_onset+w_access&lt;=0,"",IF(Q69&lt;min_dims,"insufficient data",(w_enc*N(M69)+w_bite*N(N69)+w_onset*N(O69)+w_access*N(P69))/(w_enc*ISNUMBER(M69)+w_bite*ISNUMBER(N69)+w_onset*ISNUMBER(O69)+w_access*ISNUMBER(P69))))</f>
        <v>49.8290598290598</v>
      </c>
      <c r="F69" s="7" t="n">
        <f aca="false">IF(ISNUMBER(E69),RANK(E69,$E$2:$E$300),"")</f>
        <v>27</v>
      </c>
      <c r="G69" s="8" t="str">
        <f aca="false">IFERROR(IF(OR(INDEX(Species!$I$2:$I$300,$R69)="",INDEX(Species!$M$2:$M$300,$R69)=""),"",CHAR(MAX(CODE(INDEX(Species!$I$2:$I$300,$R69)),CODE(INDEX(Species!$M$2:$M$300,$R69))))),"")</f>
        <v>C</v>
      </c>
      <c r="H69" s="9" t="str">
        <f aca="false">IFERROR(MID(IF(AND(ISNUMBER(INDEX(Species!$J$2:$J$300,$R69)),N(INDEX(Species!$J$2:$J$300,$R69))&gt;1.5),"; LD50 sources differ "&amp;TEXT(INDEX(Species!$J$2:$J$300,$R69),"0.0")&amp;"x","")&amp;IF(AND(INDEX(Species!$H$2:$H$300,$R69)&lt;&gt;"",INDEX(Species!$H$2:$H$300,$R69)&lt;&gt;"SC"),"; LD50 route "&amp;INDEX(Species!$H$2:$H$300,$R69),"")&amp;IF(INDEX(Species!$I$2:$I$300,$R69)="D","; LD50 Tier D","")&amp;IF(AND(ISNUMBER(INDEX(Species!$N$2:$N$300,$R69)),N(INDEX(Species!$N$2:$N$300,$R69))&gt;1.5),"; yield sources differ "&amp;TEXT(INDEX(Species!$N$2:$N$300,$R69),"0.0")&amp;"x","")&amp;IF(INDEX(Species!$M$2:$M$300,$R69)="D","; yield Tier D",""),3,300),"")</f>
        <v/>
      </c>
      <c r="I69" s="5" t="str">
        <f aca="false">IFERROR(INDEX(Species!$S$2:$S$300,$R69)&amp;"","")</f>
        <v/>
      </c>
      <c r="J69" s="5" t="str">
        <f aca="false">IFERROR(INDEX(Species!$T$2:$T$300,$R69)&amp;"","")</f>
        <v/>
      </c>
      <c r="K69" s="10" t="n">
        <f aca="false">IFERROR(MEDIAN(0,100*(LOG10(ld_least)-LOG10(INDEX(Species!$G$2:$G$300,$R69)))/(LOG10(ld_least)-LOG10(ld_most)),100),"")</f>
        <v>29.3962567844184</v>
      </c>
      <c r="L69" s="10" t="n">
        <f aca="false">IFERROR(MEDIAN(0,100*(LOG10(INDEX(Species!$L$2:$L$300,$R69))-LOG10(y_min))/(LOG10(y_max)-LOG10(y_min)),100),"")</f>
        <v>51.0472493722446</v>
      </c>
      <c r="M69" s="10" t="n">
        <f aca="false">IFERROR(IF(ISNUMBER(INDEX(Species!$O$2:$O$300,$R69)),ord_floor+(ord_ceil-ord_floor)*(INDEX(Species!$O$2:$O$300,$R69)-1)/9,""),"")</f>
        <v>45.5555555555556</v>
      </c>
      <c r="N69" s="10" t="n">
        <f aca="false">IFERROR(IF(ISNUMBER(INDEX(Species!$P$2:$P$300,$R69)),ord_floor+(ord_ceil-ord_floor)*(INDEX(Species!$P$2:$P$300,$R69)-1)/4,""),"")</f>
        <v>30</v>
      </c>
      <c r="O69" s="10" t="n">
        <f aca="false">IFERROR(IF(ISNUMBER(INDEX(onset_ord,MATCH(INDEX(Species!$Q$2:$Q$300,$R69),onset_labels,0))),ord_floor+(ord_ceil-ord_floor)*(IF(onset_dir="mortality",6-INDEX(onset_ord,MATCH(INDEX(Species!$Q$2:$Q$300,$R69),onset_labels,0)),INDEX(onset_ord,MATCH(INDEX(Species!$Q$2:$Q$300,$R69),onset_labels,0)))-1)/4,""),"")</f>
        <v>90</v>
      </c>
      <c r="P69" s="10" t="n">
        <f aca="false">IFERROR(IF(ISNUMBER(INDEX(access_ord,MATCH(INDEX(Species!$R$2:$R$300,$R69),access_labels,0))),ord_floor+(ord_ceil-ord_floor)*(INDEX(access_ord,MATCH(INDEX(Species!$R$2:$R$300,$R69),access_labels,0))-1)/4,""),"")</f>
        <v>30</v>
      </c>
      <c r="Q69" s="5" t="n">
        <f aca="false">ISNUMBER(M69)*(w_enc&gt;0)+ISNUMBER(N69)*(w_bite&gt;0)+ISNUMBER(O69)*(w_onset&gt;0)+ISNUMBER(P69)*(w_access&gt;0)</f>
        <v>4</v>
      </c>
      <c r="R69" s="11" t="n">
        <f aca="false">IFERROR(MATCH($A69,Species!$A$2:$A$300,0),"")</f>
        <v>49</v>
      </c>
    </row>
    <row r="70" customFormat="false" ht="14.25" hidden="false" customHeight="true" outlineLevel="0" collapsed="false">
      <c r="A70" s="4" t="s">
        <v>86</v>
      </c>
      <c r="B70" s="5" t="str">
        <f aca="false">IFERROR(INDEX(Species!$B$2:$B$300,$R70),"NOT IN SPECIES")</f>
        <v>Eyelash palm pit viper</v>
      </c>
      <c r="C70" s="6" t="n">
        <f aca="false">IF(w_pot+w_qty&lt;=0,"",IF(AND(OR(w_pot=0,ISNUMBER(K70)),OR(w_qty=0,ISNUMBER(L70))),(w_pot*N(K70)+w_qty*N(L70))/(w_pot*ISNUMBER(K70)+w_qty*ISNUMBER(L70)),IF(ISNUMBER(K70),"needs yield","needs LD50")))</f>
        <v>38.7922640308298</v>
      </c>
      <c r="D70" s="7" t="n">
        <f aca="false">IF(ISNUMBER(C70),RANK(C70,$C$2:$C$300),"")</f>
        <v>74</v>
      </c>
      <c r="E70" s="6" t="n">
        <f aca="false">IF(w_enc+w_bite+w_onset+w_access&lt;=0,"",IF(Q70&lt;min_dims,"insufficient data",(w_enc*N(M70)+w_bite*N(N70)+w_onset*N(O70)+w_access*N(P70))/(w_enc*ISNUMBER(M70)+w_bite*ISNUMBER(N70)+w_onset*ISNUMBER(O70)+w_access*ISNUMBER(P70))))</f>
        <v>47.6068376068376</v>
      </c>
      <c r="F70" s="7" t="n">
        <f aca="false">IF(ISNUMBER(E70),RANK(E70,$E$2:$E$300),"")</f>
        <v>30</v>
      </c>
      <c r="G70" s="8" t="str">
        <f aca="false">IFERROR(IF(OR(INDEX(Species!$I$2:$I$300,$R70)="",INDEX(Species!$M$2:$M$300,$R70)=""),"",CHAR(MAX(CODE(INDEX(Species!$I$2:$I$300,$R70)),CODE(INDEX(Species!$M$2:$M$300,$R70))))),"")</f>
        <v>C</v>
      </c>
      <c r="H70" s="9" t="str">
        <f aca="false">IFERROR(MID(IF(AND(ISNUMBER(INDEX(Species!$J$2:$J$300,$R70)),N(INDEX(Species!$J$2:$J$300,$R70))&gt;1.5),"; LD50 sources differ "&amp;TEXT(INDEX(Species!$J$2:$J$300,$R70),"0.0")&amp;"x","")&amp;IF(AND(INDEX(Species!$H$2:$H$300,$R70)&lt;&gt;"",INDEX(Species!$H$2:$H$300,$R70)&lt;&gt;"SC"),"; LD50 route "&amp;INDEX(Species!$H$2:$H$300,$R70),"")&amp;IF(INDEX(Species!$I$2:$I$300,$R70)="D","; LD50 Tier D","")&amp;IF(AND(ISNUMBER(INDEX(Species!$N$2:$N$300,$R70)),N(INDEX(Species!$N$2:$N$300,$R70))&gt;1.5),"; yield sources differ "&amp;TEXT(INDEX(Species!$N$2:$N$300,$R70),"0.0")&amp;"x","")&amp;IF(INDEX(Species!$M$2:$M$300,$R70)="D","; yield Tier D",""),3,300),"")</f>
        <v/>
      </c>
      <c r="I70" s="5" t="str">
        <f aca="false">IFERROR(INDEX(Species!$S$2:$S$300,$R70)&amp;"","")</f>
        <v/>
      </c>
      <c r="J70" s="5" t="str">
        <f aca="false">IFERROR(INDEX(Species!$T$2:$T$300,$R70)&amp;"","")</f>
        <v/>
      </c>
      <c r="K70" s="10" t="n">
        <f aca="false">IFERROR(MEDIAN(0,100*(LOG10(ld_least)-LOG10(INDEX(Species!$G$2:$G$300,$R70)))/(LOG10(ld_least)-LOG10(ld_most)),100),"")</f>
        <v>32.045150349752</v>
      </c>
      <c r="L70" s="10" t="n">
        <f aca="false">IFERROR(MEDIAN(0,100*(LOG10(INDEX(Species!$L$2:$L$300,$R70))-LOG10(y_min))/(LOG10(y_max)-LOG10(y_min)),100),"")</f>
        <v>45.5393777119076</v>
      </c>
      <c r="M70" s="10" t="n">
        <f aca="false">IFERROR(IF(ISNUMBER(INDEX(Species!$O$2:$O$300,$R70)),ord_floor+(ord_ceil-ord_floor)*(INDEX(Species!$O$2:$O$300,$R70)-1)/9,""),"")</f>
        <v>27.7777777777778</v>
      </c>
      <c r="N70" s="10" t="n">
        <f aca="false">IFERROR(IF(ISNUMBER(INDEX(Species!$P$2:$P$300,$R70)),ord_floor+(ord_ceil-ord_floor)*(INDEX(Species!$P$2:$P$300,$R70)-1)/4,""),"")</f>
        <v>50</v>
      </c>
      <c r="O70" s="10" t="n">
        <f aca="false">IFERROR(IF(ISNUMBER(INDEX(onset_ord,MATCH(INDEX(Species!$Q$2:$Q$300,$R70),onset_labels,0))),ord_floor+(ord_ceil-ord_floor)*(IF(onset_dir="mortality",6-INDEX(onset_ord,MATCH(INDEX(Species!$Q$2:$Q$300,$R70),onset_labels,0)),INDEX(onset_ord,MATCH(INDEX(Species!$Q$2:$Q$300,$R70),onset_labels,0)))-1)/4,""),"")</f>
        <v>90</v>
      </c>
      <c r="P70" s="10" t="n">
        <f aca="false">IFERROR(IF(ISNUMBER(INDEX(access_ord,MATCH(INDEX(Species!$R$2:$R$300,$R70),access_labels,0))),ord_floor+(ord_ceil-ord_floor)*(INDEX(access_ord,MATCH(INDEX(Species!$R$2:$R$300,$R70),access_labels,0))-1)/4,""),"")</f>
        <v>30</v>
      </c>
      <c r="Q70" s="5" t="n">
        <f aca="false">ISNUMBER(M70)*(w_enc&gt;0)+ISNUMBER(N70)*(w_bite&gt;0)+ISNUMBER(O70)*(w_onset&gt;0)+ISNUMBER(P70)*(w_access&gt;0)</f>
        <v>4</v>
      </c>
      <c r="R70" s="11" t="n">
        <f aca="false">IFERROR(MATCH($A70,Species!$A$2:$A$300,0),"")</f>
        <v>50</v>
      </c>
    </row>
    <row r="71" customFormat="false" ht="14.25" hidden="false" customHeight="true" outlineLevel="0" collapsed="false">
      <c r="A71" s="4" t="s">
        <v>87</v>
      </c>
      <c r="B71" s="5" t="str">
        <f aca="false">IFERROR(INDEX(Species!$B$2:$B$300,$R71),"NOT IN SPECIES")</f>
        <v>Pygmy rattlesnake</v>
      </c>
      <c r="C71" s="6" t="n">
        <f aca="false">IF(w_pot+w_qty&lt;=0,"",IF(AND(OR(w_pot=0,ISNUMBER(K71)),OR(w_qty=0,ISNUMBER(L71))),(w_pot*N(K71)+w_qty*N(L71))/(w_pot*ISNUMBER(K71)+w_qty*ISNUMBER(L71)),IF(ISNUMBER(K71),"needs yield","needs LD50")))</f>
        <v>37.488010529818</v>
      </c>
      <c r="D71" s="7" t="n">
        <f aca="false">IF(ISNUMBER(C71),RANK(C71,$C$2:$C$300),"")</f>
        <v>75</v>
      </c>
      <c r="E71" s="6" t="n">
        <f aca="false">IF(w_enc+w_bite+w_onset+w_access&lt;=0,"",IF(Q71&lt;min_dims,"insufficient data",(w_enc*N(M71)+w_bite*N(N71)+w_onset*N(O71)+w_access*N(P71))/(w_enc*ISNUMBER(M71)+w_bite*ISNUMBER(N71)+w_onset*ISNUMBER(O71)+w_access*ISNUMBER(P71))))</f>
        <v>39.9145299145299</v>
      </c>
      <c r="F71" s="7" t="n">
        <f aca="false">IF(ISNUMBER(E71),RANK(E71,$E$2:$E$300),"")</f>
        <v>56</v>
      </c>
      <c r="G71" s="8" t="str">
        <f aca="false">IFERROR(IF(OR(INDEX(Species!$I$2:$I$300,$R71)="",INDEX(Species!$M$2:$M$300,$R71)=""),"",CHAR(MAX(CODE(INDEX(Species!$I$2:$I$300,$R71)),CODE(INDEX(Species!$M$2:$M$300,$R71))))),"")</f>
        <v>C</v>
      </c>
      <c r="H71" s="9" t="str">
        <f aca="false">IFERROR(MID(IF(AND(ISNUMBER(INDEX(Species!$J$2:$J$300,$R71)),N(INDEX(Species!$J$2:$J$300,$R71))&gt;1.5),"; LD50 sources differ "&amp;TEXT(INDEX(Species!$J$2:$J$300,$R71),"0.0")&amp;"x","")&amp;IF(AND(INDEX(Species!$H$2:$H$300,$R71)&lt;&gt;"",INDEX(Species!$H$2:$H$300,$R71)&lt;&gt;"SC"),"; LD50 route "&amp;INDEX(Species!$H$2:$H$300,$R71),"")&amp;IF(INDEX(Species!$I$2:$I$300,$R71)="D","; LD50 Tier D","")&amp;IF(AND(ISNUMBER(INDEX(Species!$N$2:$N$300,$R71)),N(INDEX(Species!$N$2:$N$300,$R71))&gt;1.5),"; yield sources differ "&amp;TEXT(INDEX(Species!$N$2:$N$300,$R71),"0.0")&amp;"x","")&amp;IF(INDEX(Species!$M$2:$M$300,$R71)="D","; yield Tier D",""),3,300),"")</f>
        <v/>
      </c>
      <c r="I71" s="5" t="str">
        <f aca="false">IFERROR(INDEX(Species!$S$2:$S$300,$R71)&amp;"","")</f>
        <v/>
      </c>
      <c r="J71" s="5" t="str">
        <f aca="false">IFERROR(INDEX(Species!$T$2:$T$300,$R71)&amp;"","")</f>
        <v/>
      </c>
      <c r="K71" s="10" t="n">
        <f aca="false">IFERROR(MEDIAN(0,100*(LOG10(ld_least)-LOG10(INDEX(Species!$G$2:$G$300,$R71)))/(LOG10(ld_least)-LOG10(ld_most)),100),"")</f>
        <v>21.8347760664027</v>
      </c>
      <c r="L71" s="10" t="n">
        <f aca="false">IFERROR(MEDIAN(0,100*(LOG10(INDEX(Species!$L$2:$L$300,$R71))-LOG10(y_min))/(LOG10(y_max)-LOG10(y_min)),100),"")</f>
        <v>53.1412449932333</v>
      </c>
      <c r="M71" s="10" t="n">
        <f aca="false">IFERROR(IF(ISNUMBER(INDEX(Species!$O$2:$O$300,$R71)),ord_floor+(ord_ceil-ord_floor)*(INDEX(Species!$O$2:$O$300,$R71)-1)/9,""),"")</f>
        <v>27.7777777777778</v>
      </c>
      <c r="N71" s="10" t="n">
        <f aca="false">IFERROR(IF(ISNUMBER(INDEX(Species!$P$2:$P$300,$R71)),ord_floor+(ord_ceil-ord_floor)*(INDEX(Species!$P$2:$P$300,$R71)-1)/4,""),"")</f>
        <v>30</v>
      </c>
      <c r="O71" s="10" t="n">
        <f aca="false">IFERROR(IF(ISNUMBER(INDEX(onset_ord,MATCH(INDEX(Species!$Q$2:$Q$300,$R71),onset_labels,0))),ord_floor+(ord_ceil-ord_floor)*(IF(onset_dir="mortality",6-INDEX(onset_ord,MATCH(INDEX(Species!$Q$2:$Q$300,$R71),onset_labels,0)),INDEX(onset_ord,MATCH(INDEX(Species!$Q$2:$Q$300,$R71),onset_labels,0)))-1)/4,""),"")</f>
        <v>90</v>
      </c>
      <c r="P71" s="10" t="n">
        <f aca="false">IFERROR(IF(ISNUMBER(INDEX(access_ord,MATCH(INDEX(Species!$R$2:$R$300,$R71),access_labels,0))),ord_floor+(ord_ceil-ord_floor)*(INDEX(access_ord,MATCH(INDEX(Species!$R$2:$R$300,$R71),access_labels,0))-1)/4,""),"")</f>
        <v>10</v>
      </c>
      <c r="Q71" s="5" t="n">
        <f aca="false">ISNUMBER(M71)*(w_enc&gt;0)+ISNUMBER(N71)*(w_bite&gt;0)+ISNUMBER(O71)*(w_onset&gt;0)+ISNUMBER(P71)*(w_access&gt;0)</f>
        <v>4</v>
      </c>
      <c r="R71" s="11" t="n">
        <f aca="false">IFERROR(MATCH($A71,Species!$A$2:$A$300,0),"")</f>
        <v>57</v>
      </c>
    </row>
    <row r="72" customFormat="false" ht="14.25" hidden="false" customHeight="true" outlineLevel="0" collapsed="false">
      <c r="A72" s="4" t="s">
        <v>88</v>
      </c>
      <c r="B72" s="5" t="str">
        <f aca="false">IFERROR(INDEX(Species!$B$2:$B$300,$R72),"NOT IN SPECIES")</f>
        <v>Mottled rock rattlesnake</v>
      </c>
      <c r="C72" s="6" t="n">
        <f aca="false">IF(w_pot+w_qty&lt;=0,"",IF(AND(OR(w_pot=0,ISNUMBER(K72)),OR(w_qty=0,ISNUMBER(L72))),(w_pot*N(K72)+w_qty*N(L72))/(w_pot*ISNUMBER(K72)+w_qty*ISNUMBER(L72)),IF(ISNUMBER(K72),"needs yield","needs LD50")))</f>
        <v>35.6963161782212</v>
      </c>
      <c r="D72" s="7" t="n">
        <f aca="false">IF(ISNUMBER(C72),RANK(C72,$C$2:$C$300),"")</f>
        <v>76</v>
      </c>
      <c r="E72" s="6" t="n">
        <f aca="false">IF(w_enc+w_bite+w_onset+w_access&lt;=0,"",IF(Q72&lt;min_dims,"insufficient data",(w_enc*N(M72)+w_bite*N(N72)+w_onset*N(O72)+w_access*N(P72))/(w_enc*ISNUMBER(M72)+w_bite*ISNUMBER(N72)+w_onset*ISNUMBER(O72)+w_access*ISNUMBER(P72))))</f>
        <v>39.9145299145299</v>
      </c>
      <c r="F72" s="7" t="n">
        <f aca="false">IF(ISNUMBER(E72),RANK(E72,$E$2:$E$300),"")</f>
        <v>56</v>
      </c>
      <c r="G72" s="8" t="str">
        <f aca="false">IFERROR(IF(OR(INDEX(Species!$I$2:$I$300,$R72)="",INDEX(Species!$M$2:$M$300,$R72)=""),"",CHAR(MAX(CODE(INDEX(Species!$I$2:$I$300,$R72)),CODE(INDEX(Species!$M$2:$M$300,$R72))))),"")</f>
        <v>C</v>
      </c>
      <c r="H72" s="9" t="str">
        <f aca="false">IFERROR(MID(IF(AND(ISNUMBER(INDEX(Species!$J$2:$J$300,$R72)),N(INDEX(Species!$J$2:$J$300,$R72))&gt;1.5),"; LD50 sources differ "&amp;TEXT(INDEX(Species!$J$2:$J$300,$R72),"0.0")&amp;"x","")&amp;IF(AND(INDEX(Species!$H$2:$H$300,$R72)&lt;&gt;"",INDEX(Species!$H$2:$H$300,$R72)&lt;&gt;"SC"),"; LD50 route "&amp;INDEX(Species!$H$2:$H$300,$R72),"")&amp;IF(INDEX(Species!$I$2:$I$300,$R72)="D","; LD50 Tier D","")&amp;IF(AND(ISNUMBER(INDEX(Species!$N$2:$N$300,$R72)),N(INDEX(Species!$N$2:$N$300,$R72))&gt;1.5),"; yield sources differ "&amp;TEXT(INDEX(Species!$N$2:$N$300,$R72),"0.0")&amp;"x","")&amp;IF(INDEX(Species!$M$2:$M$300,$R72)="D","; yield Tier D",""),3,300),"")</f>
        <v/>
      </c>
      <c r="I72" s="5" t="str">
        <f aca="false">IFERROR(INDEX(Species!$S$2:$S$300,$R72)&amp;"","")</f>
        <v/>
      </c>
      <c r="J72" s="5" t="str">
        <f aca="false">IFERROR(INDEX(Species!$T$2:$T$300,$R72)&amp;"","")</f>
        <v/>
      </c>
      <c r="K72" s="10" t="n">
        <f aca="false">IFERROR(MEDIAN(0,100*(LOG10(ld_least)-LOG10(INDEX(Species!$G$2:$G$300,$R72)))/(LOG10(ld_least)-LOG10(ld_most)),100),"")</f>
        <v>0.531435529253711</v>
      </c>
      <c r="L72" s="10" t="n">
        <f aca="false">IFERROR(MEDIAN(0,100*(LOG10(INDEX(Species!$L$2:$L$300,$R72))-LOG10(y_min))/(LOG10(y_max)-LOG10(y_min)),100),"")</f>
        <v>70.8611968271886</v>
      </c>
      <c r="M72" s="10" t="n">
        <f aca="false">IFERROR(IF(ISNUMBER(INDEX(Species!$O$2:$O$300,$R72)),ord_floor+(ord_ceil-ord_floor)*(INDEX(Species!$O$2:$O$300,$R72)-1)/9,""),"")</f>
        <v>27.7777777777778</v>
      </c>
      <c r="N72" s="10" t="n">
        <f aca="false">IFERROR(IF(ISNUMBER(INDEX(Species!$P$2:$P$300,$R72)),ord_floor+(ord_ceil-ord_floor)*(INDEX(Species!$P$2:$P$300,$R72)-1)/4,""),"")</f>
        <v>30</v>
      </c>
      <c r="O72" s="10" t="n">
        <f aca="false">IFERROR(IF(ISNUMBER(INDEX(onset_ord,MATCH(INDEX(Species!$Q$2:$Q$300,$R72),onset_labels,0))),ord_floor+(ord_ceil-ord_floor)*(IF(onset_dir="mortality",6-INDEX(onset_ord,MATCH(INDEX(Species!$Q$2:$Q$300,$R72),onset_labels,0)),INDEX(onset_ord,MATCH(INDEX(Species!$Q$2:$Q$300,$R72),onset_labels,0)))-1)/4,""),"")</f>
        <v>90</v>
      </c>
      <c r="P72" s="10" t="n">
        <f aca="false">IFERROR(IF(ISNUMBER(INDEX(access_ord,MATCH(INDEX(Species!$R$2:$R$300,$R72),access_labels,0))),ord_floor+(ord_ceil-ord_floor)*(INDEX(access_ord,MATCH(INDEX(Species!$R$2:$R$300,$R72),access_labels,0))-1)/4,""),"")</f>
        <v>10</v>
      </c>
      <c r="Q72" s="5" t="n">
        <f aca="false">ISNUMBER(M72)*(w_enc&gt;0)+ISNUMBER(N72)*(w_bite&gt;0)+ISNUMBER(O72)*(w_onset&gt;0)+ISNUMBER(P72)*(w_access&gt;0)</f>
        <v>4</v>
      </c>
      <c r="R72" s="11" t="n">
        <f aca="false">IFERROR(MATCH($A72,Species!$A$2:$A$300,0),"")</f>
        <v>60</v>
      </c>
    </row>
    <row r="73" customFormat="false" ht="14.25" hidden="false" customHeight="true" outlineLevel="0" collapsed="false">
      <c r="A73" s="4" t="s">
        <v>89</v>
      </c>
      <c r="B73" s="5" t="str">
        <f aca="false">IFERROR(INDEX(Species!$B$2:$B$300,$R73),"NOT IN SPECIES")</f>
        <v>Mamushi</v>
      </c>
      <c r="C73" s="6" t="n">
        <f aca="false">IF(w_pot+w_qty&lt;=0,"",IF(AND(OR(w_pot=0,ISNUMBER(K73)),OR(w_qty=0,ISNUMBER(L73))),(w_pot*N(K73)+w_qty*N(L73))/(w_pot*ISNUMBER(K73)+w_qty*ISNUMBER(L73)),IF(ISNUMBER(K73),"needs yield","needs LD50")))</f>
        <v>34.2862556820465</v>
      </c>
      <c r="D73" s="7" t="n">
        <f aca="false">IF(ISNUMBER(C73),RANK(C73,$C$2:$C$300),"")</f>
        <v>77</v>
      </c>
      <c r="E73" s="6" t="n">
        <f aca="false">IF(w_enc+w_bite+w_onset+w_access&lt;=0,"",IF(Q73&lt;min_dims,"insufficient data",(w_enc*N(M73)+w_bite*N(N73)+w_onset*N(O73)+w_access*N(P73))/(w_enc*ISNUMBER(M73)+w_bite*ISNUMBER(N73)+w_onset*ISNUMBER(O73)+w_access*ISNUMBER(P73))))</f>
        <v>53.2478632478633</v>
      </c>
      <c r="F73" s="7" t="n">
        <f aca="false">IF(ISNUMBER(E73),RANK(E73,$E$2:$E$300),"")</f>
        <v>22</v>
      </c>
      <c r="G73" s="8" t="str">
        <f aca="false">IFERROR(IF(OR(INDEX(Species!$I$2:$I$300,$R73)="",INDEX(Species!$M$2:$M$300,$R73)=""),"",CHAR(MAX(CODE(INDEX(Species!$I$2:$I$300,$R73)),CODE(INDEX(Species!$M$2:$M$300,$R73))))),"")</f>
        <v>C</v>
      </c>
      <c r="H73" s="9" t="str">
        <f aca="false">IFERROR(MID(IF(AND(ISNUMBER(INDEX(Species!$J$2:$J$300,$R73)),N(INDEX(Species!$J$2:$J$300,$R73))&gt;1.5),"; LD50 sources differ "&amp;TEXT(INDEX(Species!$J$2:$J$300,$R73),"0.0")&amp;"x","")&amp;IF(AND(INDEX(Species!$H$2:$H$300,$R73)&lt;&gt;"",INDEX(Species!$H$2:$H$300,$R73)&lt;&gt;"SC"),"; LD50 route "&amp;INDEX(Species!$H$2:$H$300,$R73),"")&amp;IF(INDEX(Species!$I$2:$I$300,$R73)="D","; LD50 Tier D","")&amp;IF(AND(ISNUMBER(INDEX(Species!$N$2:$N$300,$R73)),N(INDEX(Species!$N$2:$N$300,$R73))&gt;1.5),"; yield sources differ "&amp;TEXT(INDEX(Species!$N$2:$N$300,$R73),"0.0")&amp;"x","")&amp;IF(INDEX(Species!$M$2:$M$300,$R73)="D","; yield Tier D",""),3,300),"")</f>
        <v/>
      </c>
      <c r="I73" s="5" t="str">
        <f aca="false">IFERROR(INDEX(Species!$S$2:$S$300,$R73)&amp;"","")</f>
        <v/>
      </c>
      <c r="J73" s="5" t="str">
        <f aca="false">IFERROR(INDEX(Species!$T$2:$T$300,$R73)&amp;"","")</f>
        <v/>
      </c>
      <c r="K73" s="10" t="n">
        <f aca="false">IFERROR(MEDIAN(0,100*(LOG10(ld_least)-LOG10(INDEX(Species!$G$2:$G$300,$R73)))/(LOG10(ld_least)-LOG10(ld_most)),100),"")</f>
        <v>37.2940044701459</v>
      </c>
      <c r="L73" s="10" t="n">
        <f aca="false">IFERROR(MEDIAN(0,100*(LOG10(INDEX(Species!$L$2:$L$300,$R73))-LOG10(y_min))/(LOG10(y_max)-LOG10(y_min)),100),"")</f>
        <v>31.278506893947</v>
      </c>
      <c r="M73" s="10" t="n">
        <f aca="false">IFERROR(IF(ISNUMBER(INDEX(Species!$O$2:$O$300,$R73)),ord_floor+(ord_ceil-ord_floor)*(INDEX(Species!$O$2:$O$300,$R73)-1)/9,""),"")</f>
        <v>54.4444444444444</v>
      </c>
      <c r="N73" s="10" t="n">
        <f aca="false">IFERROR(IF(ISNUMBER(INDEX(Species!$P$2:$P$300,$R73)),ord_floor+(ord_ceil-ord_floor)*(INDEX(Species!$P$2:$P$300,$R73)-1)/4,""),"")</f>
        <v>50</v>
      </c>
      <c r="O73" s="10" t="n">
        <f aca="false">IFERROR(IF(ISNUMBER(INDEX(onset_ord,MATCH(INDEX(Species!$Q$2:$Q$300,$R73),onset_labels,0))),ord_floor+(ord_ceil-ord_floor)*(IF(onset_dir="mortality",6-INDEX(onset_ord,MATCH(INDEX(Species!$Q$2:$Q$300,$R73),onset_labels,0)),INDEX(onset_ord,MATCH(INDEX(Species!$Q$2:$Q$300,$R73),onset_labels,0)))-1)/4,""),"")</f>
        <v>70</v>
      </c>
      <c r="P73" s="10" t="n">
        <f aca="false">IFERROR(IF(ISNUMBER(INDEX(access_ord,MATCH(INDEX(Species!$R$2:$R$300,$R73),access_labels,0))),ord_floor+(ord_ceil-ord_floor)*(INDEX(access_ord,MATCH(INDEX(Species!$R$2:$R$300,$R73),access_labels,0))-1)/4,""),"")</f>
        <v>30</v>
      </c>
      <c r="Q73" s="5" t="n">
        <f aca="false">ISNUMBER(M73)*(w_enc&gt;0)+ISNUMBER(N73)*(w_bite&gt;0)+ISNUMBER(O73)*(w_onset&gt;0)+ISNUMBER(P73)*(w_access&gt;0)</f>
        <v>4</v>
      </c>
      <c r="R73" s="11" t="n">
        <f aca="false">IFERROR(MATCH($A73,Species!$A$2:$A$300,0),"")</f>
        <v>66</v>
      </c>
    </row>
    <row r="74" customFormat="false" ht="14.25" hidden="false" customHeight="true" outlineLevel="0" collapsed="false">
      <c r="A74" s="4" t="s">
        <v>90</v>
      </c>
      <c r="B74" s="5" t="str">
        <f aca="false">IFERROR(INDEX(Species!$B$2:$B$300,$R74),"NOT IN SPECIES")</f>
        <v>Copperhead</v>
      </c>
      <c r="C74" s="6" t="n">
        <f aca="false">IF(w_pot+w_qty&lt;=0,"",IF(AND(OR(w_pot=0,ISNUMBER(K74)),OR(w_qty=0,ISNUMBER(L74))),(w_pot*N(K74)+w_qty*N(L74))/(w_pot*ISNUMBER(K74)+w_qty*ISNUMBER(L74)),IF(ISNUMBER(K74),"needs yield","needs LD50")))</f>
        <v>31.7471093384351</v>
      </c>
      <c r="D74" s="7" t="n">
        <f aca="false">IF(ISNUMBER(C74),RANK(C74,$C$2:$C$300),"")</f>
        <v>78</v>
      </c>
      <c r="E74" s="6" t="n">
        <f aca="false">IF(w_enc+w_bite+w_onset+w_access&lt;=0,"",IF(Q74&lt;min_dims,"insufficient data",(w_enc*N(M74)+w_bite*N(N74)+w_onset*N(O74)+w_access*N(P74))/(w_enc*ISNUMBER(M74)+w_bite*ISNUMBER(N74)+w_onset*ISNUMBER(O74)+w_access*ISNUMBER(P74))))</f>
        <v>62.8205128205128</v>
      </c>
      <c r="F74" s="7" t="n">
        <f aca="false">IF(ISNUMBER(E74),RANK(E74,$E$2:$E$300),"")</f>
        <v>7</v>
      </c>
      <c r="G74" s="8" t="str">
        <f aca="false">IFERROR(IF(OR(INDEX(Species!$I$2:$I$300,$R74)="",INDEX(Species!$M$2:$M$300,$R74)=""),"",CHAR(MAX(CODE(INDEX(Species!$I$2:$I$300,$R74)),CODE(INDEX(Species!$M$2:$M$300,$R74))))),"")</f>
        <v>C</v>
      </c>
      <c r="H74" s="9" t="str">
        <f aca="false">IFERROR(MID(IF(AND(ISNUMBER(INDEX(Species!$J$2:$J$300,$R74)),N(INDEX(Species!$J$2:$J$300,$R74))&gt;1.5),"; LD50 sources differ "&amp;TEXT(INDEX(Species!$J$2:$J$300,$R74),"0.0")&amp;"x","")&amp;IF(AND(INDEX(Species!$H$2:$H$300,$R74)&lt;&gt;"",INDEX(Species!$H$2:$H$300,$R74)&lt;&gt;"SC"),"; LD50 route "&amp;INDEX(Species!$H$2:$H$300,$R74),"")&amp;IF(INDEX(Species!$I$2:$I$300,$R74)="D","; LD50 Tier D","")&amp;IF(AND(ISNUMBER(INDEX(Species!$N$2:$N$300,$R74)),N(INDEX(Species!$N$2:$N$300,$R74))&gt;1.5),"; yield sources differ "&amp;TEXT(INDEX(Species!$N$2:$N$300,$R74),"0.0")&amp;"x","")&amp;IF(INDEX(Species!$M$2:$M$300,$R74)="D","; yield Tier D",""),3,300),"")</f>
        <v/>
      </c>
      <c r="I74" s="5" t="str">
        <f aca="false">IFERROR(INDEX(Species!$S$2:$S$300,$R74)&amp;"","")</f>
        <v/>
      </c>
      <c r="J74" s="5" t="str">
        <f aca="false">IFERROR(INDEX(Species!$T$2:$T$300,$R74)&amp;"","")</f>
        <v/>
      </c>
      <c r="K74" s="10" t="n">
        <f aca="false">IFERROR(MEDIAN(0,100*(LOG10(ld_least)-LOG10(INDEX(Species!$G$2:$G$300,$R74)))/(LOG10(ld_least)-LOG10(ld_most)),100),"")</f>
        <v>0</v>
      </c>
      <c r="L74" s="10" t="n">
        <f aca="false">IFERROR(MEDIAN(0,100*(LOG10(INDEX(Species!$L$2:$L$300,$R74))-LOG10(y_min))/(LOG10(y_max)-LOG10(y_min)),100),"")</f>
        <v>63.4942186768702</v>
      </c>
      <c r="M74" s="10" t="n">
        <f aca="false">IFERROR(IF(ISNUMBER(INDEX(Species!$O$2:$O$300,$R74)),ord_floor+(ord_ceil-ord_floor)*(INDEX(Species!$O$2:$O$300,$R74)-1)/9,""),"")</f>
        <v>63.3333333333333</v>
      </c>
      <c r="N74" s="10" t="n">
        <f aca="false">IFERROR(IF(ISNUMBER(INDEX(Species!$P$2:$P$300,$R74)),ord_floor+(ord_ceil-ord_floor)*(INDEX(Species!$P$2:$P$300,$R74)-1)/4,""),"")</f>
        <v>70</v>
      </c>
      <c r="O74" s="10" t="n">
        <f aca="false">IFERROR(IF(ISNUMBER(INDEX(onset_ord,MATCH(INDEX(Species!$Q$2:$Q$300,$R74),onset_labels,0))),ord_floor+(ord_ceil-ord_floor)*(IF(onset_dir="mortality",6-INDEX(onset_ord,MATCH(INDEX(Species!$Q$2:$Q$300,$R74),onset_labels,0)),INDEX(onset_ord,MATCH(INDEX(Species!$Q$2:$Q$300,$R74),onset_labels,0)))-1)/4,""),"")</f>
        <v>90</v>
      </c>
      <c r="P74" s="10" t="n">
        <f aca="false">IFERROR(IF(ISNUMBER(INDEX(access_ord,MATCH(INDEX(Species!$R$2:$R$300,$R74),access_labels,0))),ord_floor+(ord_ceil-ord_floor)*(INDEX(access_ord,MATCH(INDEX(Species!$R$2:$R$300,$R74),access_labels,0))-1)/4,""),"")</f>
        <v>10</v>
      </c>
      <c r="Q74" s="5" t="n">
        <f aca="false">ISNUMBER(M74)*(w_enc&gt;0)+ISNUMBER(N74)*(w_bite&gt;0)+ISNUMBER(O74)*(w_onset&gt;0)+ISNUMBER(P74)*(w_access&gt;0)</f>
        <v>4</v>
      </c>
      <c r="R74" s="11" t="n">
        <f aca="false">IFERROR(MATCH($A74,Species!$A$2:$A$300,0),"")</f>
        <v>58</v>
      </c>
    </row>
    <row r="75" customFormat="false" ht="14.25" hidden="false" customHeight="true" outlineLevel="0" collapsed="false">
      <c r="A75" s="4" t="s">
        <v>91</v>
      </c>
      <c r="B75" s="5" t="str">
        <f aca="false">IFERROR(INDEX(Species!$B$2:$B$300,$R75),"NOT IN SPECIES")</f>
        <v>Lowlands copperhead</v>
      </c>
      <c r="C75" s="6" t="n">
        <f aca="false">IF(w_pot+w_qty&lt;=0,"",IF(AND(OR(w_pot=0,ISNUMBER(K75)),OR(w_qty=0,ISNUMBER(L75))),(w_pot*N(K75)+w_qty*N(L75))/(w_pot*ISNUMBER(K75)+w_qty*ISNUMBER(L75)),IF(ISNUMBER(K75),"needs yield","needs LD50")))</f>
        <v>58.1969729091392</v>
      </c>
      <c r="D75" s="7" t="n">
        <f aca="false">IF(ISNUMBER(C75),RANK(C75,$C$2:$C$300),"")</f>
        <v>42</v>
      </c>
      <c r="E75" s="6" t="n">
        <f aca="false">IF(w_enc+w_bite+w_onset+w_access&lt;=0,"",IF(Q75&lt;min_dims,"insufficient data",(w_enc*N(M75)+w_bite*N(N75)+w_onset*N(O75)+w_access*N(P75))/(w_enc*ISNUMBER(M75)+w_bite*ISNUMBER(N75)+w_onset*ISNUMBER(O75)+w_access*ISNUMBER(P75))))</f>
        <v>30.6837606837607</v>
      </c>
      <c r="F75" s="7" t="n">
        <f aca="false">IF(ISNUMBER(E75),RANK(E75,$E$2:$E$300),"")</f>
        <v>78</v>
      </c>
      <c r="G75" s="8" t="str">
        <f aca="false">IFERROR(IF(OR(INDEX(Species!$I$2:$I$300,$R75)="",INDEX(Species!$M$2:$M$300,$R75)=""),"",CHAR(MAX(CODE(INDEX(Species!$I$2:$I$300,$R75)),CODE(INDEX(Species!$M$2:$M$300,$R75))))),"")</f>
        <v>C</v>
      </c>
      <c r="H75" s="9" t="str">
        <f aca="false">IFERROR(MID(IF(AND(ISNUMBER(INDEX(Species!$J$2:$J$300,$R75)),N(INDEX(Species!$J$2:$J$300,$R75))&gt;1.5),"; LD50 sources differ "&amp;TEXT(INDEX(Species!$J$2:$J$300,$R75),"0.0")&amp;"x","")&amp;IF(AND(INDEX(Species!$H$2:$H$300,$R75)&lt;&gt;"",INDEX(Species!$H$2:$H$300,$R75)&lt;&gt;"SC"),"; LD50 route "&amp;INDEX(Species!$H$2:$H$300,$R75),"")&amp;IF(INDEX(Species!$I$2:$I$300,$R75)="D","; LD50 Tier D","")&amp;IF(AND(ISNUMBER(INDEX(Species!$N$2:$N$300,$R75)),N(INDEX(Species!$N$2:$N$300,$R75))&gt;1.5),"; yield sources differ "&amp;TEXT(INDEX(Species!$N$2:$N$300,$R75),"0.0")&amp;"x","")&amp;IF(INDEX(Species!$M$2:$M$300,$R75)="D","; yield Tier D",""),3,300),"")</f>
        <v/>
      </c>
      <c r="I75" s="5" t="str">
        <f aca="false">IFERROR(INDEX(Species!$S$2:$S$300,$R75)&amp;"","")</f>
        <v/>
      </c>
      <c r="J75" s="5" t="str">
        <f aca="false">IFERROR(INDEX(Species!$T$2:$T$300,$R75)&amp;"","")</f>
        <v/>
      </c>
      <c r="K75" s="10" t="n">
        <f aca="false">IFERROR(MEDIAN(0,100*(LOG10(ld_least)-LOG10(INDEX(Species!$G$2:$G$300,$R75)))/(LOG10(ld_least)-LOG10(ld_most)),100),"")</f>
        <v>51.1995006257121</v>
      </c>
      <c r="L75" s="10" t="n">
        <f aca="false">IFERROR(MEDIAN(0,100*(LOG10(INDEX(Species!$L$2:$L$300,$R75))-LOG10(y_min))/(LOG10(y_max)-LOG10(y_min)),100),"")</f>
        <v>65.1944451925663</v>
      </c>
      <c r="M75" s="10" t="n">
        <f aca="false">IFERROR(IF(ISNUMBER(INDEX(Species!$O$2:$O$300,$R75)),ord_floor+(ord_ceil-ord_floor)*(INDEX(Species!$O$2:$O$300,$R75)-1)/9,""),"")</f>
        <v>27.7777777777778</v>
      </c>
      <c r="N75" s="10" t="n">
        <f aca="false">IFERROR(IF(ISNUMBER(INDEX(Species!$P$2:$P$300,$R75)),ord_floor+(ord_ceil-ord_floor)*(INDEX(Species!$P$2:$P$300,$R75)-1)/4,""),"")</f>
        <v>30</v>
      </c>
      <c r="O75" s="10" t="n">
        <f aca="false">IFERROR(IF(ISNUMBER(INDEX(onset_ord,MATCH(INDEX(Species!$Q$2:$Q$300,$R75),onset_labels,0))),ord_floor+(ord_ceil-ord_floor)*(IF(onset_dir="mortality",6-INDEX(onset_ord,MATCH(INDEX(Species!$Q$2:$Q$300,$R75),onset_labels,0)),INDEX(onset_ord,MATCH(INDEX(Species!$Q$2:$Q$300,$R75),onset_labels,0)))-1)/4,""),"")</f>
        <v>50</v>
      </c>
      <c r="P75" s="10" t="n">
        <f aca="false">IFERROR(IF(ISNUMBER(INDEX(access_ord,MATCH(INDEX(Species!$R$2:$R$300,$R75),access_labels,0))),ord_floor+(ord_ceil-ord_floor)*(INDEX(access_ord,MATCH(INDEX(Species!$R$2:$R$300,$R75),access_labels,0))-1)/4,""),"")</f>
        <v>10</v>
      </c>
      <c r="Q75" s="5" t="n">
        <f aca="false">ISNUMBER(M75)*(w_enc&gt;0)+ISNUMBER(N75)*(w_bite&gt;0)+ISNUMBER(O75)*(w_onset&gt;0)+ISNUMBER(P75)*(w_access&gt;0)</f>
        <v>4</v>
      </c>
      <c r="R75" s="11" t="n">
        <f aca="false">IFERROR(MATCH($A75,Species!$A$2:$A$300,0),"")</f>
        <v>56</v>
      </c>
    </row>
    <row r="76" customFormat="false" ht="14.25" hidden="false" customHeight="true" outlineLevel="0" collapsed="false">
      <c r="A76" s="4" t="s">
        <v>92</v>
      </c>
      <c r="B76" s="5" t="str">
        <f aca="false">IFERROR(INDEX(Species!$B$2:$B$300,$R76),"NOT IN SPECIES")</f>
        <v>Many-banded krait</v>
      </c>
      <c r="C76" s="6" t="str">
        <f aca="false">IF(w_pot+w_qty&lt;=0,"",IF(AND(OR(w_pot=0,ISNUMBER(K76)),OR(w_qty=0,ISNUMBER(L76))),(w_pot*N(K76)+w_qty*N(L76))/(w_pot*ISNUMBER(K76)+w_qty*ISNUMBER(L76)),IF(ISNUMBER(K76),"needs yield","needs LD50")))</f>
        <v>needs yield</v>
      </c>
      <c r="D76" s="7" t="str">
        <f aca="false">IF(ISNUMBER(C76),RANK(C76,$C$2:$C$300),"")</f>
        <v/>
      </c>
      <c r="E76" s="6" t="n">
        <f aca="false">IF(w_enc+w_bite+w_onset+w_access&lt;=0,"",IF(Q76&lt;min_dims,"insufficient data",(w_enc*N(M76)+w_bite*N(N76)+w_onset*N(O76)+w_access*N(P76))/(w_enc*ISNUMBER(M76)+w_bite*ISNUMBER(N76)+w_onset*ISNUMBER(O76)+w_access*ISNUMBER(P76))))</f>
        <v>46.2393162393162</v>
      </c>
      <c r="F76" s="7" t="n">
        <f aca="false">IF(ISNUMBER(E76),RANK(E76,$E$2:$E$300),"")</f>
        <v>38</v>
      </c>
      <c r="G76" s="8" t="str">
        <f aca="false">IFERROR(IF(OR(INDEX(Species!$I$2:$I$300,$R76)="",INDEX(Species!$M$2:$M$300,$R76)=""),"",CHAR(MAX(CODE(INDEX(Species!$I$2:$I$300,$R76)),CODE(INDEX(Species!$M$2:$M$300,$R76))))),"")</f>
        <v/>
      </c>
      <c r="H76" s="9" t="str">
        <f aca="false">IFERROR(MID(IF(AND(ISNUMBER(INDEX(Species!$J$2:$J$300,$R76)),N(INDEX(Species!$J$2:$J$300,$R76))&gt;1.5),"; LD50 sources differ "&amp;TEXT(INDEX(Species!$J$2:$J$300,$R76),"0.0")&amp;"x","")&amp;IF(AND(INDEX(Species!$H$2:$H$300,$R76)&lt;&gt;"",INDEX(Species!$H$2:$H$300,$R76)&lt;&gt;"SC"),"; LD50 route "&amp;INDEX(Species!$H$2:$H$300,$R76),"")&amp;IF(INDEX(Species!$I$2:$I$300,$R76)="D","; LD50 Tier D","")&amp;IF(AND(ISNUMBER(INDEX(Species!$N$2:$N$300,$R76)),N(INDEX(Species!$N$2:$N$300,$R76))&gt;1.5),"; yield sources differ "&amp;TEXT(INDEX(Species!$N$2:$N$300,$R76),"0.0")&amp;"x","")&amp;IF(INDEX(Species!$M$2:$M$300,$R76)="D","; yield Tier D",""),3,300),"")</f>
        <v/>
      </c>
      <c r="I76" s="5" t="str">
        <f aca="false">IFERROR(INDEX(Species!$S$2:$S$300,$R76)&amp;"","")</f>
        <v/>
      </c>
      <c r="J76" s="5" t="str">
        <f aca="false">IFERROR(INDEX(Species!$T$2:$T$300,$R76)&amp;"","")</f>
        <v/>
      </c>
      <c r="K76" s="10" t="n">
        <f aca="false">IFERROR(MEDIAN(0,100*(LOG10(ld_least)-LOG10(INDEX(Species!$G$2:$G$300,$R76)))/(LOG10(ld_least)-LOG10(ld_most)),100),"")</f>
        <v>81.2277648255993</v>
      </c>
      <c r="L76" s="10" t="str">
        <f aca="false">IFERROR(MEDIAN(0,100*(LOG10(INDEX(Species!$L$2:$L$300,$R76))-LOG10(y_min))/(LOG10(y_max)-LOG10(y_min)),100),"")</f>
        <v/>
      </c>
      <c r="M76" s="10" t="n">
        <f aca="false">IFERROR(IF(ISNUMBER(INDEX(Species!$O$2:$O$300,$R76)),ord_floor+(ord_ceil-ord_floor)*(INDEX(Species!$O$2:$O$300,$R76)-1)/9,""),"")</f>
        <v>72.2222222222222</v>
      </c>
      <c r="N76" s="10" t="n">
        <f aca="false">IFERROR(IF(ISNUMBER(INDEX(Species!$P$2:$P$300,$R76)),ord_floor+(ord_ceil-ord_floor)*(INDEX(Species!$P$2:$P$300,$R76)-1)/4,""),"")</f>
        <v>30</v>
      </c>
      <c r="O76" s="10" t="n">
        <f aca="false">IFERROR(IF(ISNUMBER(INDEX(onset_ord,MATCH(INDEX(Species!$Q$2:$Q$300,$R76),onset_labels,0))),ord_floor+(ord_ceil-ord_floor)*(IF(onset_dir="mortality",6-INDEX(onset_ord,MATCH(INDEX(Species!$Q$2:$Q$300,$R76),onset_labels,0)),INDEX(onset_ord,MATCH(INDEX(Species!$Q$2:$Q$300,$R76),onset_labels,0)))-1)/4,""),"")</f>
        <v>30</v>
      </c>
      <c r="P76" s="10" t="n">
        <f aca="false">IFERROR(IF(ISNUMBER(INDEX(access_ord,MATCH(INDEX(Species!$R$2:$R$300,$R76),access_labels,0))),ord_floor+(ord_ceil-ord_floor)*(INDEX(access_ord,MATCH(INDEX(Species!$R$2:$R$300,$R76),access_labels,0))-1)/4,""),"")</f>
        <v>30</v>
      </c>
      <c r="Q76" s="5" t="n">
        <f aca="false">ISNUMBER(M76)*(w_enc&gt;0)+ISNUMBER(N76)*(w_bite&gt;0)+ISNUMBER(O76)*(w_onset&gt;0)+ISNUMBER(P76)*(w_access&gt;0)</f>
        <v>4</v>
      </c>
      <c r="R76" s="11" t="n">
        <f aca="false">IFERROR(MATCH($A76,Species!$A$2:$A$300,0),"")</f>
        <v>80</v>
      </c>
    </row>
    <row r="77" customFormat="false" ht="14.25" hidden="false" customHeight="true" outlineLevel="0" collapsed="false">
      <c r="A77" s="4" t="s">
        <v>93</v>
      </c>
      <c r="B77" s="5" t="str">
        <f aca="false">IFERROR(INDEX(Species!$B$2:$B$300,$R77),"NOT IN SPECIES")</f>
        <v>Speckled rattlesnake</v>
      </c>
      <c r="C77" s="6" t="str">
        <f aca="false">IF(w_pot+w_qty&lt;=0,"",IF(AND(OR(w_pot=0,ISNUMBER(K77)),OR(w_qty=0,ISNUMBER(L77))),(w_pot*N(K77)+w_qty*N(L77))/(w_pot*ISNUMBER(K77)+w_qty*ISNUMBER(L77)),IF(ISNUMBER(K77),"needs yield","needs LD50")))</f>
        <v>needs yield</v>
      </c>
      <c r="D77" s="7" t="str">
        <f aca="false">IF(ISNUMBER(C77),RANK(C77,$C$2:$C$300),"")</f>
        <v/>
      </c>
      <c r="E77" s="6" t="n">
        <f aca="false">IF(w_enc+w_bite+w_onset+w_access&lt;=0,"",IF(Q77&lt;min_dims,"insufficient data",(w_enc*N(M77)+w_bite*N(N77)+w_onset*N(O77)+w_access*N(P77))/(w_enc*ISNUMBER(M77)+w_bite*ISNUMBER(N77)+w_onset*ISNUMBER(O77)+w_access*ISNUMBER(P77))))</f>
        <v>44.5299145299145</v>
      </c>
      <c r="F77" s="7" t="n">
        <f aca="false">IF(ISNUMBER(E77),RANK(E77,$E$2:$E$300),"")</f>
        <v>41</v>
      </c>
      <c r="G77" s="8" t="str">
        <f aca="false">IFERROR(IF(OR(INDEX(Species!$I$2:$I$300,$R77)="",INDEX(Species!$M$2:$M$300,$R77)=""),"",CHAR(MAX(CODE(INDEX(Species!$I$2:$I$300,$R77)),CODE(INDEX(Species!$M$2:$M$300,$R77))))),"")</f>
        <v/>
      </c>
      <c r="H77" s="9" t="str">
        <f aca="false">IFERROR(MID(IF(AND(ISNUMBER(INDEX(Species!$J$2:$J$300,$R77)),N(INDEX(Species!$J$2:$J$300,$R77))&gt;1.5),"; LD50 sources differ "&amp;TEXT(INDEX(Species!$J$2:$J$300,$R77),"0.0")&amp;"x","")&amp;IF(AND(INDEX(Species!$H$2:$H$300,$R77)&lt;&gt;"",INDEX(Species!$H$2:$H$300,$R77)&lt;&gt;"SC"),"; LD50 route "&amp;INDEX(Species!$H$2:$H$300,$R77),"")&amp;IF(INDEX(Species!$I$2:$I$300,$R77)="D","; LD50 Tier D","")&amp;IF(AND(ISNUMBER(INDEX(Species!$N$2:$N$300,$R77)),N(INDEX(Species!$N$2:$N$300,$R77))&gt;1.5),"; yield sources differ "&amp;TEXT(INDEX(Species!$N$2:$N$300,$R77),"0.0")&amp;"x","")&amp;IF(INDEX(Species!$M$2:$M$300,$R77)="D","; yield Tier D",""),3,300),"")</f>
        <v>LD50 route unknown; LD50 Tier D</v>
      </c>
      <c r="I77" s="5" t="str">
        <f aca="false">IFERROR(INDEX(Species!$S$2:$S$300,$R77)&amp;"","")</f>
        <v/>
      </c>
      <c r="J77" s="5" t="str">
        <f aca="false">IFERROR(INDEX(Species!$T$2:$T$300,$R77)&amp;"","")</f>
        <v/>
      </c>
      <c r="K77" s="10" t="n">
        <f aca="false">IFERROR(MEDIAN(0,100*(LOG10(ld_least)-LOG10(INDEX(Species!$G$2:$G$300,$R77)))/(LOG10(ld_least)-LOG10(ld_most)),100),"")</f>
        <v>69.0950532480826</v>
      </c>
      <c r="L77" s="10" t="str">
        <f aca="false">IFERROR(MEDIAN(0,100*(LOG10(INDEX(Species!$L$2:$L$300,$R77))-LOG10(y_min))/(LOG10(y_max)-LOG10(y_min)),100),"")</f>
        <v/>
      </c>
      <c r="M77" s="10" t="n">
        <f aca="false">IFERROR(IF(ISNUMBER(INDEX(Species!$O$2:$O$300,$R77)),ord_floor+(ord_ceil-ord_floor)*(INDEX(Species!$O$2:$O$300,$R77)-1)/9,""),"")</f>
        <v>27.7777777777778</v>
      </c>
      <c r="N77" s="10" t="n">
        <f aca="false">IFERROR(IF(ISNUMBER(INDEX(Species!$P$2:$P$300,$R77)),ord_floor+(ord_ceil-ord_floor)*(INDEX(Species!$P$2:$P$300,$R77)-1)/4,""),"")</f>
        <v>50</v>
      </c>
      <c r="O77" s="10" t="n">
        <f aca="false">IFERROR(IF(ISNUMBER(INDEX(onset_ord,MATCH(INDEX(Species!$Q$2:$Q$300,$R77),onset_labels,0))),ord_floor+(ord_ceil-ord_floor)*(IF(onset_dir="mortality",6-INDEX(onset_ord,MATCH(INDEX(Species!$Q$2:$Q$300,$R77),onset_labels,0)),INDEX(onset_ord,MATCH(INDEX(Species!$Q$2:$Q$300,$R77),onset_labels,0)))-1)/4,""),"")</f>
        <v>90</v>
      </c>
      <c r="P77" s="10" t="n">
        <f aca="false">IFERROR(IF(ISNUMBER(INDEX(access_ord,MATCH(INDEX(Species!$R$2:$R$300,$R77),access_labels,0))),ord_floor+(ord_ceil-ord_floor)*(INDEX(access_ord,MATCH(INDEX(Species!$R$2:$R$300,$R77),access_labels,0))-1)/4,""),"")</f>
        <v>10</v>
      </c>
      <c r="Q77" s="5" t="n">
        <f aca="false">ISNUMBER(M77)*(w_enc&gt;0)+ISNUMBER(N77)*(w_bite&gt;0)+ISNUMBER(O77)*(w_onset&gt;0)+ISNUMBER(P77)*(w_access&gt;0)</f>
        <v>4</v>
      </c>
      <c r="R77" s="11" t="n">
        <f aca="false">IFERROR(MATCH($A77,Species!$A$2:$A$300,0),"")</f>
        <v>90</v>
      </c>
    </row>
    <row r="78" customFormat="false" ht="14.25" hidden="false" customHeight="true" outlineLevel="0" collapsed="false">
      <c r="A78" s="4" t="s">
        <v>94</v>
      </c>
      <c r="B78" s="5" t="str">
        <f aca="false">IFERROR(INDEX(Species!$B$2:$B$300,$R78),"NOT IN SPECIES")</f>
        <v>Small-eyed snake</v>
      </c>
      <c r="C78" s="6" t="str">
        <f aca="false">IF(w_pot+w_qty&lt;=0,"",IF(AND(OR(w_pot=0,ISNUMBER(K78)),OR(w_qty=0,ISNUMBER(L78))),(w_pot*N(K78)+w_qty*N(L78))/(w_pot*ISNUMBER(K78)+w_qty*ISNUMBER(L78)),IF(ISNUMBER(K78),"needs yield","needs LD50")))</f>
        <v>needs yield</v>
      </c>
      <c r="D78" s="7" t="str">
        <f aca="false">IF(ISNUMBER(C78),RANK(C78,$C$2:$C$300),"")</f>
        <v/>
      </c>
      <c r="E78" s="6" t="str">
        <f aca="false">IF(w_enc+w_bite+w_onset+w_access&lt;=0,"",IF(Q78&lt;min_dims,"insufficient data",(w_enc*N(M78)+w_bite*N(N78)+w_onset*N(O78)+w_access*N(P78))/(w_enc*ISNUMBER(M78)+w_bite*ISNUMBER(N78)+w_onset*ISNUMBER(O78)+w_access*ISNUMBER(P78))))</f>
        <v>insufficient data</v>
      </c>
      <c r="F78" s="7" t="str">
        <f aca="false">IF(ISNUMBER(E78),RANK(E78,$E$2:$E$300),"")</f>
        <v/>
      </c>
      <c r="G78" s="8" t="str">
        <f aca="false">IFERROR(IF(OR(INDEX(Species!$I$2:$I$300,$R78)="",INDEX(Species!$M$2:$M$300,$R78)=""),"",CHAR(MAX(CODE(INDEX(Species!$I$2:$I$300,$R78)),CODE(INDEX(Species!$M$2:$M$300,$R78))))),"")</f>
        <v/>
      </c>
      <c r="H78" s="9" t="str">
        <f aca="false">IFERROR(MID(IF(AND(ISNUMBER(INDEX(Species!$J$2:$J$300,$R78)),N(INDEX(Species!$J$2:$J$300,$R78))&gt;1.5),"; LD50 sources differ "&amp;TEXT(INDEX(Species!$J$2:$J$300,$R78),"0.0")&amp;"x","")&amp;IF(AND(INDEX(Species!$H$2:$H$300,$R78)&lt;&gt;"",INDEX(Species!$H$2:$H$300,$R78)&lt;&gt;"SC"),"; LD50 route "&amp;INDEX(Species!$H$2:$H$300,$R78),"")&amp;IF(INDEX(Species!$I$2:$I$300,$R78)="D","; LD50 Tier D","")&amp;IF(AND(ISNUMBER(INDEX(Species!$N$2:$N$300,$R78)),N(INDEX(Species!$N$2:$N$300,$R78))&gt;1.5),"; yield sources differ "&amp;TEXT(INDEX(Species!$N$2:$N$300,$R78),"0.0")&amp;"x","")&amp;IF(INDEX(Species!$M$2:$M$300,$R78)="D","; yield Tier D",""),3,300),"")</f>
        <v/>
      </c>
      <c r="I78" s="5" t="str">
        <f aca="false">IFERROR(INDEX(Species!$S$2:$S$300,$R78)&amp;"","")</f>
        <v/>
      </c>
      <c r="J78" s="5" t="str">
        <f aca="false">IFERROR(INDEX(Species!$T$2:$T$300,$R78)&amp;"","")</f>
        <v/>
      </c>
      <c r="K78" s="10" t="n">
        <f aca="false">IFERROR(MEDIAN(0,100*(LOG10(ld_least)-LOG10(INDEX(Species!$G$2:$G$300,$R78)))/(LOG10(ld_least)-LOG10(ld_most)),100),"")</f>
        <v>22.7021762547825</v>
      </c>
      <c r="L78" s="10" t="str">
        <f aca="false">IFERROR(MEDIAN(0,100*(LOG10(INDEX(Species!$L$2:$L$300,$R78))-LOG10(y_min))/(LOG10(y_max)-LOG10(y_min)),100),"")</f>
        <v/>
      </c>
      <c r="M78" s="10" t="str">
        <f aca="false">IFERROR(IF(ISNUMBER(INDEX(Species!$O$2:$O$300,$R78)),ord_floor+(ord_ceil-ord_floor)*(INDEX(Species!$O$2:$O$300,$R78)-1)/9,""),"")</f>
        <v/>
      </c>
      <c r="N78" s="10" t="str">
        <f aca="false">IFERROR(IF(ISNUMBER(INDEX(Species!$P$2:$P$300,$R78)),ord_floor+(ord_ceil-ord_floor)*(INDEX(Species!$P$2:$P$300,$R78)-1)/4,""),"")</f>
        <v/>
      </c>
      <c r="O78" s="10" t="str">
        <f aca="false">IFERROR(IF(ISNUMBER(INDEX(onset_ord,MATCH(INDEX(Species!$Q$2:$Q$300,$R78),onset_labels,0))),ord_floor+(ord_ceil-ord_floor)*(IF(onset_dir="mortality",6-INDEX(onset_ord,MATCH(INDEX(Species!$Q$2:$Q$300,$R78),onset_labels,0)),INDEX(onset_ord,MATCH(INDEX(Species!$Q$2:$Q$300,$R78),onset_labels,0)))-1)/4,""),"")</f>
        <v/>
      </c>
      <c r="P78" s="10" t="str">
        <f aca="false">IFERROR(IF(ISNUMBER(INDEX(access_ord,MATCH(INDEX(Species!$R$2:$R$300,$R78),access_labels,0))),ord_floor+(ord_ceil-ord_floor)*(INDEX(access_ord,MATCH(INDEX(Species!$R$2:$R$300,$R78),access_labels,0))-1)/4,""),"")</f>
        <v/>
      </c>
      <c r="Q78" s="5" t="n">
        <f aca="false">ISNUMBER(M78)*(w_enc&gt;0)+ISNUMBER(N78)*(w_bite&gt;0)+ISNUMBER(O78)*(w_onset&gt;0)+ISNUMBER(P78)*(w_access&gt;0)</f>
        <v>0</v>
      </c>
      <c r="R78" s="11" t="n">
        <f aca="false">IFERROR(MATCH($A78,Species!$A$2:$A$300,0),"")</f>
        <v>93</v>
      </c>
    </row>
    <row r="79" customFormat="false" ht="14.25" hidden="false" customHeight="true" outlineLevel="0" collapsed="false">
      <c r="A79" s="4" t="s">
        <v>95</v>
      </c>
      <c r="B79" s="5" t="str">
        <f aca="false">IFERROR(INDEX(Species!$B$2:$B$300,$R79),"NOT IN SPECIES")</f>
        <v>Hundred-pace pit viper</v>
      </c>
      <c r="C79" s="6" t="str">
        <f aca="false">IF(w_pot+w_qty&lt;=0,"",IF(AND(OR(w_pot=0,ISNUMBER(K79)),OR(w_qty=0,ISNUMBER(L79))),(w_pot*N(K79)+w_qty*N(L79))/(w_pot*ISNUMBER(K79)+w_qty*ISNUMBER(L79)),IF(ISNUMBER(K79),"needs yield","needs LD50")))</f>
        <v>needs yield</v>
      </c>
      <c r="D79" s="7" t="str">
        <f aca="false">IF(ISNUMBER(C79),RANK(C79,$C$2:$C$300),"")</f>
        <v/>
      </c>
      <c r="E79" s="6" t="n">
        <f aca="false">IF(w_enc+w_bite+w_onset+w_access&lt;=0,"",IF(Q79&lt;min_dims,"insufficient data",(w_enc*N(M79)+w_bite*N(N79)+w_onset*N(O79)+w_access*N(P79))/(w_enc*ISNUMBER(M79)+w_bite*ISNUMBER(N79)+w_onset*ISNUMBER(O79)+w_access*ISNUMBER(P79))))</f>
        <v>56.6666666666667</v>
      </c>
      <c r="F79" s="7" t="n">
        <f aca="false">IF(ISNUMBER(E79),RANK(E79,$E$2:$E$300),"")</f>
        <v>13</v>
      </c>
      <c r="G79" s="8" t="str">
        <f aca="false">IFERROR(IF(OR(INDEX(Species!$I$2:$I$300,$R79)="",INDEX(Species!$M$2:$M$300,$R79)=""),"",CHAR(MAX(CODE(INDEX(Species!$I$2:$I$300,$R79)),CODE(INDEX(Species!$M$2:$M$300,$R79))))),"")</f>
        <v/>
      </c>
      <c r="H79" s="9" t="str">
        <f aca="false">IFERROR(MID(IF(AND(ISNUMBER(INDEX(Species!$J$2:$J$300,$R79)),N(INDEX(Species!$J$2:$J$300,$R79))&gt;1.5),"; LD50 sources differ "&amp;TEXT(INDEX(Species!$J$2:$J$300,$R79),"0.0")&amp;"x","")&amp;IF(AND(INDEX(Species!$H$2:$H$300,$R79)&lt;&gt;"",INDEX(Species!$H$2:$H$300,$R79)&lt;&gt;"SC"),"; LD50 route "&amp;INDEX(Species!$H$2:$H$300,$R79),"")&amp;IF(INDEX(Species!$I$2:$I$300,$R79)="D","; LD50 Tier D","")&amp;IF(AND(ISNUMBER(INDEX(Species!$N$2:$N$300,$R79)),N(INDEX(Species!$N$2:$N$300,$R79))&gt;1.5),"; yield sources differ "&amp;TEXT(INDEX(Species!$N$2:$N$300,$R79),"0.0")&amp;"x","")&amp;IF(INDEX(Species!$M$2:$M$300,$R79)="D","; yield Tier D",""),3,300),"")</f>
        <v/>
      </c>
      <c r="I79" s="5" t="str">
        <f aca="false">IFERROR(INDEX(Species!$S$2:$S$300,$R79)&amp;"","")</f>
        <v/>
      </c>
      <c r="J79" s="5" t="str">
        <f aca="false">IFERROR(INDEX(Species!$T$2:$T$300,$R79)&amp;"","")</f>
        <v/>
      </c>
      <c r="K79" s="10" t="n">
        <f aca="false">IFERROR(MEDIAN(0,100*(LOG10(ld_least)-LOG10(INDEX(Species!$G$2:$G$300,$R79)))/(LOG10(ld_least)-LOG10(ld_most)),100),"")</f>
        <v>58.2744103961957</v>
      </c>
      <c r="L79" s="10" t="str">
        <f aca="false">IFERROR(MEDIAN(0,100*(LOG10(INDEX(Species!$L$2:$L$300,$R79))-LOG10(y_min))/(LOG10(y_max)-LOG10(y_min)),100),"")</f>
        <v/>
      </c>
      <c r="M79" s="10" t="n">
        <f aca="false">IFERROR(IF(ISNUMBER(INDEX(Species!$O$2:$O$300,$R79)),ord_floor+(ord_ceil-ord_floor)*(INDEX(Species!$O$2:$O$300,$R79)-1)/9,""),"")</f>
        <v>63.3333333333333</v>
      </c>
      <c r="N79" s="10" t="n">
        <f aca="false">IFERROR(IF(ISNUMBER(INDEX(Species!$P$2:$P$300,$R79)),ord_floor+(ord_ceil-ord_floor)*(INDEX(Species!$P$2:$P$300,$R79)-1)/4,""),"")</f>
        <v>50</v>
      </c>
      <c r="O79" s="10" t="n">
        <f aca="false">IFERROR(IF(ISNUMBER(INDEX(onset_ord,MATCH(INDEX(Species!$Q$2:$Q$300,$R79),onset_labels,0))),ord_floor+(ord_ceil-ord_floor)*(IF(onset_dir="mortality",6-INDEX(onset_ord,MATCH(INDEX(Species!$Q$2:$Q$300,$R79),onset_labels,0)),INDEX(onset_ord,MATCH(INDEX(Species!$Q$2:$Q$300,$R79),onset_labels,0)))-1)/4,""),"")</f>
        <v>70</v>
      </c>
      <c r="P79" s="10" t="n">
        <f aca="false">IFERROR(IF(ISNUMBER(INDEX(access_ord,MATCH(INDEX(Species!$R$2:$R$300,$R79),access_labels,0))),ord_floor+(ord_ceil-ord_floor)*(INDEX(access_ord,MATCH(INDEX(Species!$R$2:$R$300,$R79),access_labels,0))-1)/4,""),"")</f>
        <v>30</v>
      </c>
      <c r="Q79" s="5" t="n">
        <f aca="false">ISNUMBER(M79)*(w_enc&gt;0)+ISNUMBER(N79)*(w_bite&gt;0)+ISNUMBER(O79)*(w_onset&gt;0)+ISNUMBER(P79)*(w_access&gt;0)</f>
        <v>4</v>
      </c>
      <c r="R79" s="11" t="n">
        <f aca="false">IFERROR(MATCH($A79,Species!$A$2:$A$300,0),"")</f>
        <v>85</v>
      </c>
    </row>
    <row r="80" customFormat="false" ht="14.25" hidden="false" customHeight="true" outlineLevel="0" collapsed="false">
      <c r="A80" s="4" t="s">
        <v>96</v>
      </c>
      <c r="B80" s="5" t="str">
        <f aca="false">IFERROR(INDEX(Species!$B$2:$B$300,$R80),"NOT IN SPECIES")</f>
        <v>Olive whip snake</v>
      </c>
      <c r="C80" s="6" t="str">
        <f aca="false">IF(w_pot+w_qty&lt;=0,"",IF(AND(OR(w_pot=0,ISNUMBER(K80)),OR(w_qty=0,ISNUMBER(L80))),(w_pot*N(K80)+w_qty*N(L80))/(w_pot*ISNUMBER(K80)+w_qty*ISNUMBER(L80)),IF(ISNUMBER(K80),"needs yield","needs LD50")))</f>
        <v>needs yield</v>
      </c>
      <c r="D80" s="7" t="str">
        <f aca="false">IF(ISNUMBER(C80),RANK(C80,$C$2:$C$300),"")</f>
        <v/>
      </c>
      <c r="E80" s="6" t="str">
        <f aca="false">IF(w_enc+w_bite+w_onset+w_access&lt;=0,"",IF(Q80&lt;min_dims,"insufficient data",(w_enc*N(M80)+w_bite*N(N80)+w_onset*N(O80)+w_access*N(P80))/(w_enc*ISNUMBER(M80)+w_bite*ISNUMBER(N80)+w_onset*ISNUMBER(O80)+w_access*ISNUMBER(P80))))</f>
        <v>insufficient data</v>
      </c>
      <c r="F80" s="7" t="str">
        <f aca="false">IF(ISNUMBER(E80),RANK(E80,$E$2:$E$300),"")</f>
        <v/>
      </c>
      <c r="G80" s="8" t="str">
        <f aca="false">IFERROR(IF(OR(INDEX(Species!$I$2:$I$300,$R80)="",INDEX(Species!$M$2:$M$300,$R80)=""),"",CHAR(MAX(CODE(INDEX(Species!$I$2:$I$300,$R80)),CODE(INDEX(Species!$M$2:$M$300,$R80))))),"")</f>
        <v/>
      </c>
      <c r="H80" s="9" t="str">
        <f aca="false">IFERROR(MID(IF(AND(ISNUMBER(INDEX(Species!$J$2:$J$300,$R80)),N(INDEX(Species!$J$2:$J$300,$R80))&gt;1.5),"; LD50 sources differ "&amp;TEXT(INDEX(Species!$J$2:$J$300,$R80),"0.0")&amp;"x","")&amp;IF(AND(INDEX(Species!$H$2:$H$300,$R80)&lt;&gt;"",INDEX(Species!$H$2:$H$300,$R80)&lt;&gt;"SC"),"; LD50 route "&amp;INDEX(Species!$H$2:$H$300,$R80),"")&amp;IF(INDEX(Species!$I$2:$I$300,$R80)="D","; LD50 Tier D","")&amp;IF(AND(ISNUMBER(INDEX(Species!$N$2:$N$300,$R80)),N(INDEX(Species!$N$2:$N$300,$R80))&gt;1.5),"; yield sources differ "&amp;TEXT(INDEX(Species!$N$2:$N$300,$R80),"0.0")&amp;"x","")&amp;IF(INDEX(Species!$M$2:$M$300,$R80)="D","; yield Tier D",""),3,300),"")</f>
        <v/>
      </c>
      <c r="I80" s="5" t="str">
        <f aca="false">IFERROR(INDEX(Species!$S$2:$S$300,$R80)&amp;"","")</f>
        <v/>
      </c>
      <c r="J80" s="5" t="str">
        <f aca="false">IFERROR(INDEX(Species!$T$2:$T$300,$R80)&amp;"","")</f>
        <v/>
      </c>
      <c r="K80" s="10" t="n">
        <f aca="false">IFERROR(MEDIAN(0,100*(LOG10(ld_least)-LOG10(INDEX(Species!$G$2:$G$300,$R80)))/(LOG10(ld_least)-LOG10(ld_most)),100),"")</f>
        <v>0</v>
      </c>
      <c r="L80" s="10" t="str">
        <f aca="false">IFERROR(MEDIAN(0,100*(LOG10(INDEX(Species!$L$2:$L$300,$R80))-LOG10(y_min))/(LOG10(y_max)-LOG10(y_min)),100),"")</f>
        <v/>
      </c>
      <c r="M80" s="10" t="str">
        <f aca="false">IFERROR(IF(ISNUMBER(INDEX(Species!$O$2:$O$300,$R80)),ord_floor+(ord_ceil-ord_floor)*(INDEX(Species!$O$2:$O$300,$R80)-1)/9,""),"")</f>
        <v/>
      </c>
      <c r="N80" s="10" t="str">
        <f aca="false">IFERROR(IF(ISNUMBER(INDEX(Species!$P$2:$P$300,$R80)),ord_floor+(ord_ceil-ord_floor)*(INDEX(Species!$P$2:$P$300,$R80)-1)/4,""),"")</f>
        <v/>
      </c>
      <c r="O80" s="10" t="str">
        <f aca="false">IFERROR(IF(ISNUMBER(INDEX(onset_ord,MATCH(INDEX(Species!$Q$2:$Q$300,$R80),onset_labels,0))),ord_floor+(ord_ceil-ord_floor)*(IF(onset_dir="mortality",6-INDEX(onset_ord,MATCH(INDEX(Species!$Q$2:$Q$300,$R80),onset_labels,0)),INDEX(onset_ord,MATCH(INDEX(Species!$Q$2:$Q$300,$R80),onset_labels,0)))-1)/4,""),"")</f>
        <v/>
      </c>
      <c r="P80" s="10" t="str">
        <f aca="false">IFERROR(IF(ISNUMBER(INDEX(access_ord,MATCH(INDEX(Species!$R$2:$R$300,$R80),access_labels,0))),ord_floor+(ord_ceil-ord_floor)*(INDEX(access_ord,MATCH(INDEX(Species!$R$2:$R$300,$R80),access_labels,0))-1)/4,""),"")</f>
        <v/>
      </c>
      <c r="Q80" s="5" t="n">
        <f aca="false">ISNUMBER(M80)*(w_enc&gt;0)+ISNUMBER(N80)*(w_bite&gt;0)+ISNUMBER(O80)*(w_onset&gt;0)+ISNUMBER(P80)*(w_access&gt;0)</f>
        <v>0</v>
      </c>
      <c r="R80" s="11" t="n">
        <f aca="false">IFERROR(MATCH($A80,Species!$A$2:$A$300,0),"")</f>
        <v>94</v>
      </c>
    </row>
    <row r="81" customFormat="false" ht="14.25" hidden="false" customHeight="true" outlineLevel="0" collapsed="false">
      <c r="A81" s="4" t="s">
        <v>97</v>
      </c>
      <c r="B81" s="5" t="str">
        <f aca="false">IFERROR(INDEX(Species!$B$2:$B$300,$R81),"NOT IN SPECIES")</f>
        <v>Stephens' banded snake</v>
      </c>
      <c r="C81" s="6" t="str">
        <f aca="false">IF(w_pot+w_qty&lt;=0,"",IF(AND(OR(w_pot=0,ISNUMBER(K81)),OR(w_qty=0,ISNUMBER(L81))),(w_pot*N(K81)+w_qty*N(L81))/(w_pot*ISNUMBER(K81)+w_qty*ISNUMBER(L81)),IF(ISNUMBER(K81),"needs yield","needs LD50")))</f>
        <v>needs yield</v>
      </c>
      <c r="D81" s="7" t="str">
        <f aca="false">IF(ISNUMBER(C81),RANK(C81,$C$2:$C$300),"")</f>
        <v/>
      </c>
      <c r="E81" s="6" t="n">
        <f aca="false">IF(w_enc+w_bite+w_onset+w_access&lt;=0,"",IF(Q81&lt;min_dims,"insufficient data",(w_enc*N(M81)+w_bite*N(N81)+w_onset*N(O81)+w_access*N(P81))/(w_enc*ISNUMBER(M81)+w_bite*ISNUMBER(N81)+w_onset*ISNUMBER(O81)+w_access*ISNUMBER(P81))))</f>
        <v>43.3333333333333</v>
      </c>
      <c r="F81" s="7" t="n">
        <f aca="false">IF(ISNUMBER(E81),RANK(E81,$E$2:$E$300),"")</f>
        <v>44</v>
      </c>
      <c r="G81" s="8" t="str">
        <f aca="false">IFERROR(IF(OR(INDEX(Species!$I$2:$I$300,$R81)="",INDEX(Species!$M$2:$M$300,$R81)=""),"",CHAR(MAX(CODE(INDEX(Species!$I$2:$I$300,$R81)),CODE(INDEX(Species!$M$2:$M$300,$R81))))),"")</f>
        <v/>
      </c>
      <c r="H81" s="9" t="str">
        <f aca="false">IFERROR(MID(IF(AND(ISNUMBER(INDEX(Species!$J$2:$J$300,$R81)),N(INDEX(Species!$J$2:$J$300,$R81))&gt;1.5),"; LD50 sources differ "&amp;TEXT(INDEX(Species!$J$2:$J$300,$R81),"0.0")&amp;"x","")&amp;IF(AND(INDEX(Species!$H$2:$H$300,$R81)&lt;&gt;"",INDEX(Species!$H$2:$H$300,$R81)&lt;&gt;"SC"),"; LD50 route "&amp;INDEX(Species!$H$2:$H$300,$R81),"")&amp;IF(INDEX(Species!$I$2:$I$300,$R81)="D","; LD50 Tier D","")&amp;IF(AND(ISNUMBER(INDEX(Species!$N$2:$N$300,$R81)),N(INDEX(Species!$N$2:$N$300,$R81))&gt;1.5),"; yield sources differ "&amp;TEXT(INDEX(Species!$N$2:$N$300,$R81),"0.0")&amp;"x","")&amp;IF(INDEX(Species!$M$2:$M$300,$R81)="D","; yield Tier D",""),3,300),"")</f>
        <v/>
      </c>
      <c r="I81" s="5" t="str">
        <f aca="false">IFERROR(INDEX(Species!$S$2:$S$300,$R81)&amp;"","")</f>
        <v/>
      </c>
      <c r="J81" s="5" t="str">
        <f aca="false">IFERROR(INDEX(Species!$T$2:$T$300,$R81)&amp;"","")</f>
        <v/>
      </c>
      <c r="K81" s="10" t="n">
        <f aca="false">IFERROR(MEDIAN(0,100*(LOG10(ld_least)-LOG10(INDEX(Species!$G$2:$G$300,$R81)))/(LOG10(ld_least)-LOG10(ld_most)),100),"")</f>
        <v>35.0103617216889</v>
      </c>
      <c r="L81" s="10" t="str">
        <f aca="false">IFERROR(MEDIAN(0,100*(LOG10(INDEX(Species!$L$2:$L$300,$R81))-LOG10(y_min))/(LOG10(y_max)-LOG10(y_min)),100),"")</f>
        <v/>
      </c>
      <c r="M81" s="10" t="n">
        <f aca="false">IFERROR(IF(ISNUMBER(INDEX(Species!$O$2:$O$300,$R81)),ord_floor+(ord_ceil-ord_floor)*(INDEX(Species!$O$2:$O$300,$R81)-1)/9,""),"")</f>
        <v>36.6666666666667</v>
      </c>
      <c r="N81" s="10" t="n">
        <f aca="false">IFERROR(IF(ISNUMBER(INDEX(Species!$P$2:$P$300,$R81)),ord_floor+(ord_ceil-ord_floor)*(INDEX(Species!$P$2:$P$300,$R81)-1)/4,""),"")</f>
        <v>70</v>
      </c>
      <c r="O81" s="10" t="n">
        <f aca="false">IFERROR(IF(ISNUMBER(INDEX(onset_ord,MATCH(INDEX(Species!$Q$2:$Q$300,$R81),onset_labels,0))),ord_floor+(ord_ceil-ord_floor)*(IF(onset_dir="mortality",6-INDEX(onset_ord,MATCH(INDEX(Species!$Q$2:$Q$300,$R81),onset_labels,0)),INDEX(onset_ord,MATCH(INDEX(Species!$Q$2:$Q$300,$R81),onset_labels,0)))-1)/4,""),"")</f>
        <v>50</v>
      </c>
      <c r="P81" s="10" t="n">
        <f aca="false">IFERROR(IF(ISNUMBER(INDEX(access_ord,MATCH(INDEX(Species!$R$2:$R$300,$R81),access_labels,0))),ord_floor+(ord_ceil-ord_floor)*(INDEX(access_ord,MATCH(INDEX(Species!$R$2:$R$300,$R81),access_labels,0))-1)/4,""),"")</f>
        <v>10</v>
      </c>
      <c r="Q81" s="5" t="n">
        <f aca="false">ISNUMBER(M81)*(w_enc&gt;0)+ISNUMBER(N81)*(w_bite&gt;0)+ISNUMBER(O81)*(w_onset&gt;0)+ISNUMBER(P81)*(w_access&gt;0)</f>
        <v>4</v>
      </c>
      <c r="R81" s="11" t="n">
        <f aca="false">IFERROR(MATCH($A81,Species!$A$2:$A$300,0),"")</f>
        <v>70</v>
      </c>
    </row>
    <row r="82" customFormat="false" ht="14.25" hidden="false" customHeight="true" outlineLevel="0" collapsed="false">
      <c r="A82" s="4" t="s">
        <v>98</v>
      </c>
      <c r="B82" s="5" t="str">
        <f aca="false">IFERROR(INDEX(Species!$B$2:$B$300,$R82),"NOT IN SPECIES")</f>
        <v>Belcher's sea snake</v>
      </c>
      <c r="C82" s="6" t="str">
        <f aca="false">IF(w_pot+w_qty&lt;=0,"",IF(AND(OR(w_pot=0,ISNUMBER(K82)),OR(w_qty=0,ISNUMBER(L82))),(w_pot*N(K82)+w_qty*N(L82))/(w_pot*ISNUMBER(K82)+w_qty*ISNUMBER(L82)),IF(ISNUMBER(K82),"needs yield","needs LD50")))</f>
        <v>needs yield</v>
      </c>
      <c r="D82" s="7" t="str">
        <f aca="false">IF(ISNUMBER(C82),RANK(C82,$C$2:$C$300),"")</f>
        <v/>
      </c>
      <c r="E82" s="6" t="n">
        <f aca="false">IF(w_enc+w_bite+w_onset+w_access&lt;=0,"",IF(Q82&lt;min_dims,"insufficient data",(w_enc*N(M82)+w_bite*N(N82)+w_onset*N(O82)+w_access*N(P82))/(w_enc*ISNUMBER(M82)+w_bite*ISNUMBER(N82)+w_onset*ISNUMBER(O82)+w_access*ISNUMBER(P82))))</f>
        <v>25.3846153846154</v>
      </c>
      <c r="F82" s="7" t="n">
        <f aca="false">IF(ISNUMBER(E82),RANK(E82,$E$2:$E$300),"")</f>
        <v>84</v>
      </c>
      <c r="G82" s="8" t="str">
        <f aca="false">IFERROR(IF(OR(INDEX(Species!$I$2:$I$300,$R82)="",INDEX(Species!$M$2:$M$300,$R82)=""),"",CHAR(MAX(CODE(INDEX(Species!$I$2:$I$300,$R82)),CODE(INDEX(Species!$M$2:$M$300,$R82))))),"")</f>
        <v/>
      </c>
      <c r="H82" s="9" t="str">
        <f aca="false">IFERROR(MID(IF(AND(ISNUMBER(INDEX(Species!$J$2:$J$300,$R82)),N(INDEX(Species!$J$2:$J$300,$R82))&gt;1.5),"; LD50 sources differ "&amp;TEXT(INDEX(Species!$J$2:$J$300,$R82),"0.0")&amp;"x","")&amp;IF(AND(INDEX(Species!$H$2:$H$300,$R82)&lt;&gt;"",INDEX(Species!$H$2:$H$300,$R82)&lt;&gt;"SC"),"; LD50 route "&amp;INDEX(Species!$H$2:$H$300,$R82),"")&amp;IF(INDEX(Species!$I$2:$I$300,$R82)="D","; LD50 Tier D","")&amp;IF(AND(ISNUMBER(INDEX(Species!$N$2:$N$300,$R82)),N(INDEX(Species!$N$2:$N$300,$R82))&gt;1.5),"; yield sources differ "&amp;TEXT(INDEX(Species!$N$2:$N$300,$R82),"0.0")&amp;"x","")&amp;IF(INDEX(Species!$M$2:$M$300,$R82)="D","; yield Tier D",""),3,300),"")</f>
        <v>LD50 route IM</v>
      </c>
      <c r="I82" s="5" t="str">
        <f aca="false">IFERROR(INDEX(Species!$S$2:$S$300,$R82)&amp;"","")</f>
        <v/>
      </c>
      <c r="J82" s="5" t="str">
        <f aca="false">IFERROR(INDEX(Species!$T$2:$T$300,$R82)&amp;"","")</f>
        <v/>
      </c>
      <c r="K82" s="10" t="n">
        <f aca="false">IFERROR(MEDIAN(0,100*(LOG10(ld_least)-LOG10(INDEX(Species!$G$2:$G$300,$R82)))/(LOG10(ld_least)-LOG10(ld_most)),100),"")</f>
        <v>74.6358388638534</v>
      </c>
      <c r="L82" s="10" t="str">
        <f aca="false">IFERROR(MEDIAN(0,100*(LOG10(INDEX(Species!$L$2:$L$300,$R82))-LOG10(y_min))/(LOG10(y_max)-LOG10(y_min)),100),"")</f>
        <v/>
      </c>
      <c r="M82" s="10" t="n">
        <f aca="false">IFERROR(IF(ISNUMBER(INDEX(Species!$O$2:$O$300,$R82)),ord_floor+(ord_ceil-ord_floor)*(INDEX(Species!$O$2:$O$300,$R82)-1)/9,""),"")</f>
        <v>10</v>
      </c>
      <c r="N82" s="10" t="n">
        <f aca="false">IFERROR(IF(ISNUMBER(INDEX(Species!$P$2:$P$300,$R82)),ord_floor+(ord_ceil-ord_floor)*(INDEX(Species!$P$2:$P$300,$R82)-1)/4,""),"")</f>
        <v>10</v>
      </c>
      <c r="O82" s="10" t="n">
        <f aca="false">IFERROR(IF(ISNUMBER(INDEX(onset_ord,MATCH(INDEX(Species!$Q$2:$Q$300,$R82),onset_labels,0))),ord_floor+(ord_ceil-ord_floor)*(IF(onset_dir="mortality",6-INDEX(onset_ord,MATCH(INDEX(Species!$Q$2:$Q$300,$R82),onset_labels,0)),INDEX(onset_ord,MATCH(INDEX(Species!$Q$2:$Q$300,$R82),onset_labels,0)))-1)/4,""),"")</f>
        <v>50</v>
      </c>
      <c r="P82" s="10" t="n">
        <f aca="false">IFERROR(IF(ISNUMBER(INDEX(access_ord,MATCH(INDEX(Species!$R$2:$R$300,$R82),access_labels,0))),ord_floor+(ord_ceil-ord_floor)*(INDEX(access_ord,MATCH(INDEX(Species!$R$2:$R$300,$R82),access_labels,0))-1)/4,""),"")</f>
        <v>50</v>
      </c>
      <c r="Q82" s="5" t="n">
        <f aca="false">ISNUMBER(M82)*(w_enc&gt;0)+ISNUMBER(N82)*(w_bite&gt;0)+ISNUMBER(O82)*(w_onset&gt;0)+ISNUMBER(P82)*(w_access&gt;0)</f>
        <v>4</v>
      </c>
      <c r="R82" s="11" t="n">
        <f aca="false">IFERROR(MATCH($A82,Species!$A$2:$A$300,0),"")</f>
        <v>82</v>
      </c>
    </row>
    <row r="83" customFormat="false" ht="14.25" hidden="false" customHeight="true" outlineLevel="0" collapsed="false">
      <c r="A83" s="4" t="s">
        <v>99</v>
      </c>
      <c r="B83" s="5" t="str">
        <f aca="false">IFERROR(INDEX(Species!$B$2:$B$300,$R83),"NOT IN SPECIES")</f>
        <v>Peron's sea snake</v>
      </c>
      <c r="C83" s="6" t="str">
        <f aca="false">IF(w_pot+w_qty&lt;=0,"",IF(AND(OR(w_pot=0,ISNUMBER(K83)),OR(w_qty=0,ISNUMBER(L83))),(w_pot*N(K83)+w_qty*N(L83))/(w_pot*ISNUMBER(K83)+w_qty*ISNUMBER(L83)),IF(ISNUMBER(K83),"needs yield","needs LD50")))</f>
        <v>needs yield</v>
      </c>
      <c r="D83" s="7" t="str">
        <f aca="false">IF(ISNUMBER(C83),RANK(C83,$C$2:$C$300),"")</f>
        <v/>
      </c>
      <c r="E83" s="6" t="n">
        <f aca="false">IF(w_enc+w_bite+w_onset+w_access&lt;=0,"",IF(Q83&lt;min_dims,"insufficient data",(w_enc*N(M83)+w_bite*N(N83)+w_onset*N(O83)+w_access*N(P83))/(w_enc*ISNUMBER(M83)+w_bite*ISNUMBER(N83)+w_onset*ISNUMBER(O83)+w_access*ISNUMBER(P83))))</f>
        <v>30</v>
      </c>
      <c r="F83" s="7" t="n">
        <f aca="false">IF(ISNUMBER(E83),RANK(E83,$E$2:$E$300),"")</f>
        <v>79</v>
      </c>
      <c r="G83" s="8" t="str">
        <f aca="false">IFERROR(IF(OR(INDEX(Species!$I$2:$I$300,$R83)="",INDEX(Species!$M$2:$M$300,$R83)=""),"",CHAR(MAX(CODE(INDEX(Species!$I$2:$I$300,$R83)),CODE(INDEX(Species!$M$2:$M$300,$R83))))),"")</f>
        <v/>
      </c>
      <c r="H83" s="9" t="str">
        <f aca="false">IFERROR(MID(IF(AND(ISNUMBER(INDEX(Species!$J$2:$J$300,$R83)),N(INDEX(Species!$J$2:$J$300,$R83))&gt;1.5),"; LD50 sources differ "&amp;TEXT(INDEX(Species!$J$2:$J$300,$R83),"0.0")&amp;"x","")&amp;IF(AND(INDEX(Species!$H$2:$H$300,$R83)&lt;&gt;"",INDEX(Species!$H$2:$H$300,$R83)&lt;&gt;"SC"),"; LD50 route "&amp;INDEX(Species!$H$2:$H$300,$R83),"")&amp;IF(INDEX(Species!$I$2:$I$300,$R83)="D","; LD50 Tier D","")&amp;IF(AND(ISNUMBER(INDEX(Species!$N$2:$N$300,$R83)),N(INDEX(Species!$N$2:$N$300,$R83))&gt;1.5),"; yield sources differ "&amp;TEXT(INDEX(Species!$N$2:$N$300,$R83),"0.0")&amp;"x","")&amp;IF(INDEX(Species!$M$2:$M$300,$R83)="D","; yield Tier D",""),3,300),"")</f>
        <v/>
      </c>
      <c r="I83" s="5" t="str">
        <f aca="false">IFERROR(INDEX(Species!$S$2:$S$300,$R83)&amp;"","")</f>
        <v/>
      </c>
      <c r="J83" s="5" t="str">
        <f aca="false">IFERROR(INDEX(Species!$T$2:$T$300,$R83)&amp;"","")</f>
        <v/>
      </c>
      <c r="K83" s="10" t="n">
        <f aca="false">IFERROR(MEDIAN(0,100*(LOG10(ld_least)-LOG10(INDEX(Species!$G$2:$G$300,$R83)))/(LOG10(ld_least)-LOG10(ld_most)),100),"")</f>
        <v>86.9327759354702</v>
      </c>
      <c r="L83" s="10" t="str">
        <f aca="false">IFERROR(MEDIAN(0,100*(LOG10(INDEX(Species!$L$2:$L$300,$R83))-LOG10(y_min))/(LOG10(y_max)-LOG10(y_min)),100),"")</f>
        <v/>
      </c>
      <c r="M83" s="10" t="n">
        <f aca="false">IFERROR(IF(ISNUMBER(INDEX(Species!$O$2:$O$300,$R83)),ord_floor+(ord_ceil-ord_floor)*(INDEX(Species!$O$2:$O$300,$R83)-1)/9,""),"")</f>
        <v>10</v>
      </c>
      <c r="N83" s="10" t="n">
        <f aca="false">IFERROR(IF(ISNUMBER(INDEX(Species!$P$2:$P$300,$R83)),ord_floor+(ord_ceil-ord_floor)*(INDEX(Species!$P$2:$P$300,$R83)-1)/4,""),"")</f>
        <v>30</v>
      </c>
      <c r="O83" s="10" t="n">
        <f aca="false">IFERROR(IF(ISNUMBER(INDEX(onset_ord,MATCH(INDEX(Species!$Q$2:$Q$300,$R83),onset_labels,0))),ord_floor+(ord_ceil-ord_floor)*(IF(onset_dir="mortality",6-INDEX(onset_ord,MATCH(INDEX(Species!$Q$2:$Q$300,$R83),onset_labels,0)),INDEX(onset_ord,MATCH(INDEX(Species!$Q$2:$Q$300,$R83),onset_labels,0)))-1)/4,""),"")</f>
        <v>50</v>
      </c>
      <c r="P83" s="10" t="n">
        <f aca="false">IFERROR(IF(ISNUMBER(INDEX(access_ord,MATCH(INDEX(Species!$R$2:$R$300,$R83),access_labels,0))),ord_floor+(ord_ceil-ord_floor)*(INDEX(access_ord,MATCH(INDEX(Species!$R$2:$R$300,$R83),access_labels,0))-1)/4,""),"")</f>
        <v>50</v>
      </c>
      <c r="Q83" s="5" t="n">
        <f aca="false">ISNUMBER(M83)*(w_enc&gt;0)+ISNUMBER(N83)*(w_bite&gt;0)+ISNUMBER(O83)*(w_onset&gt;0)+ISNUMBER(P83)*(w_access&gt;0)</f>
        <v>4</v>
      </c>
      <c r="R83" s="11" t="n">
        <f aca="false">IFERROR(MATCH($A83,Species!$A$2:$A$300,0),"")</f>
        <v>79</v>
      </c>
    </row>
    <row r="84" customFormat="false" ht="14.25" hidden="false" customHeight="true" outlineLevel="0" collapsed="false">
      <c r="A84" s="4" t="s">
        <v>100</v>
      </c>
      <c r="B84" s="5" t="str">
        <f aca="false">IFERROR(INDEX(Species!$B$2:$B$300,$R84),"NOT IN SPECIES")</f>
        <v>Yellow-lipped sea krait</v>
      </c>
      <c r="C84" s="6" t="str">
        <f aca="false">IF(w_pot+w_qty&lt;=0,"",IF(AND(OR(w_pot=0,ISNUMBER(K84)),OR(w_qty=0,ISNUMBER(L84))),(w_pot*N(K84)+w_qty*N(L84))/(w_pot*ISNUMBER(K84)+w_qty*ISNUMBER(L84)),IF(ISNUMBER(K84),"needs yield","needs LD50")))</f>
        <v>needs yield</v>
      </c>
      <c r="D84" s="7" t="str">
        <f aca="false">IF(ISNUMBER(C84),RANK(C84,$C$2:$C$300),"")</f>
        <v/>
      </c>
      <c r="E84" s="6" t="n">
        <f aca="false">IF(w_enc+w_bite+w_onset+w_access&lt;=0,"",IF(Q84&lt;min_dims,"insufficient data",(w_enc*N(M84)+w_bite*N(N84)+w_onset*N(O84)+w_access*N(P84))/(w_enc*ISNUMBER(M84)+w_bite*ISNUMBER(N84)+w_onset*ISNUMBER(O84)+w_access*ISNUMBER(P84))))</f>
        <v>36.8376068376068</v>
      </c>
      <c r="F84" s="7" t="n">
        <f aca="false">IF(ISNUMBER(E84),RANK(E84,$E$2:$E$300),"")</f>
        <v>69</v>
      </c>
      <c r="G84" s="8" t="str">
        <f aca="false">IFERROR(IF(OR(INDEX(Species!$I$2:$I$300,$R84)="",INDEX(Species!$M$2:$M$300,$R84)=""),"",CHAR(MAX(CODE(INDEX(Species!$I$2:$I$300,$R84)),CODE(INDEX(Species!$M$2:$M$300,$R84))))),"")</f>
        <v/>
      </c>
      <c r="H84" s="9" t="str">
        <f aca="false">IFERROR(MID(IF(AND(ISNUMBER(INDEX(Species!$J$2:$J$300,$R84)),N(INDEX(Species!$J$2:$J$300,$R84))&gt;1.5),"; LD50 sources differ "&amp;TEXT(INDEX(Species!$J$2:$J$300,$R84),"0.0")&amp;"x","")&amp;IF(AND(INDEX(Species!$H$2:$H$300,$R84)&lt;&gt;"",INDEX(Species!$H$2:$H$300,$R84)&lt;&gt;"SC"),"; LD50 route "&amp;INDEX(Species!$H$2:$H$300,$R84),"")&amp;IF(INDEX(Species!$I$2:$I$300,$R84)="D","; LD50 Tier D","")&amp;IF(AND(ISNUMBER(INDEX(Species!$N$2:$N$300,$R84)),N(INDEX(Species!$N$2:$N$300,$R84))&gt;1.5),"; yield sources differ "&amp;TEXT(INDEX(Species!$N$2:$N$300,$R84),"0.0")&amp;"x","")&amp;IF(INDEX(Species!$M$2:$M$300,$R84)="D","; yield Tier D",""),3,300),"")</f>
        <v>LD50 sources differ 2.5x; LD50 Tier D</v>
      </c>
      <c r="I84" s="5" t="str">
        <f aca="false">IFERROR(INDEX(Species!$S$2:$S$300,$R84)&amp;"","")</f>
        <v/>
      </c>
      <c r="J84" s="5" t="str">
        <f aca="false">IFERROR(INDEX(Species!$T$2:$T$300,$R84)&amp;"","")</f>
        <v/>
      </c>
      <c r="K84" s="10" t="n">
        <f aca="false">IFERROR(MEDIAN(0,100*(LOG10(ld_least)-LOG10(INDEX(Species!$G$2:$G$300,$R84)))/(LOG10(ld_least)-LOG10(ld_most)),100),"")</f>
        <v>57.3385473537053</v>
      </c>
      <c r="L84" s="10" t="str">
        <f aca="false">IFERROR(MEDIAN(0,100*(LOG10(INDEX(Species!$L$2:$L$300,$R84))-LOG10(y_min))/(LOG10(y_max)-LOG10(y_min)),100),"")</f>
        <v/>
      </c>
      <c r="M84" s="10" t="n">
        <f aca="false">IFERROR(IF(ISNUMBER(INDEX(Species!$O$2:$O$300,$R84)),ord_floor+(ord_ceil-ord_floor)*(INDEX(Species!$O$2:$O$300,$R84)-1)/9,""),"")</f>
        <v>27.7777777777778</v>
      </c>
      <c r="N84" s="10" t="n">
        <f aca="false">IFERROR(IF(ISNUMBER(INDEX(Species!$P$2:$P$300,$R84)),ord_floor+(ord_ceil-ord_floor)*(INDEX(Species!$P$2:$P$300,$R84)-1)/4,""),"")</f>
        <v>30</v>
      </c>
      <c r="O84" s="10" t="n">
        <f aca="false">IFERROR(IF(ISNUMBER(INDEX(onset_ord,MATCH(INDEX(Species!$Q$2:$Q$300,$R84),onset_labels,0))),ord_floor+(ord_ceil-ord_floor)*(IF(onset_dir="mortality",6-INDEX(onset_ord,MATCH(INDEX(Species!$Q$2:$Q$300,$R84),onset_labels,0)),INDEX(onset_ord,MATCH(INDEX(Species!$Q$2:$Q$300,$R84),onset_labels,0)))-1)/4,""),"")</f>
        <v>50</v>
      </c>
      <c r="P84" s="10" t="n">
        <f aca="false">IFERROR(IF(ISNUMBER(INDEX(access_ord,MATCH(INDEX(Species!$R$2:$R$300,$R84),access_labels,0))),ord_floor+(ord_ceil-ord_floor)*(INDEX(access_ord,MATCH(INDEX(Species!$R$2:$R$300,$R84),access_labels,0))-1)/4,""),"")</f>
        <v>50</v>
      </c>
      <c r="Q84" s="5" t="n">
        <f aca="false">ISNUMBER(M84)*(w_enc&gt;0)+ISNUMBER(N84)*(w_bite&gt;0)+ISNUMBER(O84)*(w_onset&gt;0)+ISNUMBER(P84)*(w_access&gt;0)</f>
        <v>4</v>
      </c>
      <c r="R84" s="11" t="n">
        <f aca="false">IFERROR(MATCH($A84,Species!$A$2:$A$300,0),"")</f>
        <v>87</v>
      </c>
    </row>
    <row r="85" customFormat="false" ht="14.25" hidden="false" customHeight="true" outlineLevel="0" collapsed="false">
      <c r="A85" s="4" t="s">
        <v>101</v>
      </c>
      <c r="B85" s="5" t="str">
        <f aca="false">IFERROR(INDEX(Species!$B$2:$B$300,$R85),"NOT IN SPECIES")</f>
        <v>Congo water cobra</v>
      </c>
      <c r="C85" s="6" t="str">
        <f aca="false">IF(w_pot+w_qty&lt;=0,"",IF(AND(OR(w_pot=0,ISNUMBER(K85)),OR(w_qty=0,ISNUMBER(L85))),(w_pot*N(K85)+w_qty*N(L85))/(w_pot*ISNUMBER(K85)+w_qty*ISNUMBER(L85)),IF(ISNUMBER(K85),"needs yield","needs LD50")))</f>
        <v>needs yield</v>
      </c>
      <c r="D85" s="7" t="str">
        <f aca="false">IF(ISNUMBER(C85),RANK(C85,$C$2:$C$300),"")</f>
        <v/>
      </c>
      <c r="E85" s="6" t="n">
        <f aca="false">IF(w_enc+w_bite+w_onset+w_access&lt;=0,"",IF(Q85&lt;min_dims,"insufficient data",(w_enc*N(M85)+w_bite*N(N85)+w_onset*N(O85)+w_access*N(P85))/(w_enc*ISNUMBER(M85)+w_bite*ISNUMBER(N85)+w_onset*ISNUMBER(O85)+w_access*ISNUMBER(P85))))</f>
        <v>28.4444444444444</v>
      </c>
      <c r="F85" s="7" t="n">
        <f aca="false">IF(ISNUMBER(E85),RANK(E85,$E$2:$E$300),"")</f>
        <v>83</v>
      </c>
      <c r="G85" s="8" t="str">
        <f aca="false">IFERROR(IF(OR(INDEX(Species!$I$2:$I$300,$R85)="",INDEX(Species!$M$2:$M$300,$R85)=""),"",CHAR(MAX(CODE(INDEX(Species!$I$2:$I$300,$R85)),CODE(INDEX(Species!$M$2:$M$300,$R85))))),"")</f>
        <v/>
      </c>
      <c r="H85" s="9" t="str">
        <f aca="false">IFERROR(MID(IF(AND(ISNUMBER(INDEX(Species!$J$2:$J$300,$R85)),N(INDEX(Species!$J$2:$J$300,$R85))&gt;1.5),"; LD50 sources differ "&amp;TEXT(INDEX(Species!$J$2:$J$300,$R85),"0.0")&amp;"x","")&amp;IF(AND(INDEX(Species!$H$2:$H$300,$R85)&lt;&gt;"",INDEX(Species!$H$2:$H$300,$R85)&lt;&gt;"SC"),"; LD50 route "&amp;INDEX(Species!$H$2:$H$300,$R85),"")&amp;IF(INDEX(Species!$I$2:$I$300,$R85)="D","; LD50 Tier D","")&amp;IF(AND(ISNUMBER(INDEX(Species!$N$2:$N$300,$R85)),N(INDEX(Species!$N$2:$N$300,$R85))&gt;1.5),"; yield sources differ "&amp;TEXT(INDEX(Species!$N$2:$N$300,$R85),"0.0")&amp;"x","")&amp;IF(INDEX(Species!$M$2:$M$300,$R85)="D","; yield Tier D",""),3,300),"")</f>
        <v>LD50 route IP</v>
      </c>
      <c r="I85" s="5" t="str">
        <f aca="false">IFERROR(INDEX(Species!$S$2:$S$300,$R85)&amp;"","")</f>
        <v/>
      </c>
      <c r="J85" s="5" t="str">
        <f aca="false">IFERROR(INDEX(Species!$T$2:$T$300,$R85)&amp;"","")</f>
        <v/>
      </c>
      <c r="K85" s="10" t="n">
        <f aca="false">IFERROR(MEDIAN(0,100*(LOG10(ld_least)-LOG10(INDEX(Species!$G$2:$G$300,$R85)))/(LOG10(ld_least)-LOG10(ld_most)),100),"")</f>
        <v>79.305427531432</v>
      </c>
      <c r="L85" s="10" t="str">
        <f aca="false">IFERROR(MEDIAN(0,100*(LOG10(INDEX(Species!$L$2:$L$300,$R85))-LOG10(y_min))/(LOG10(y_max)-LOG10(y_min)),100),"")</f>
        <v/>
      </c>
      <c r="M85" s="10" t="n">
        <f aca="false">IFERROR(IF(ISNUMBER(INDEX(Species!$O$2:$O$300,$R85)),ord_floor+(ord_ceil-ord_floor)*(INDEX(Species!$O$2:$O$300,$R85)-1)/9,""),"")</f>
        <v>18.8888888888889</v>
      </c>
      <c r="N85" s="10" t="str">
        <f aca="false">IFERROR(IF(ISNUMBER(INDEX(Species!$P$2:$P$300,$R85)),ord_floor+(ord_ceil-ord_floor)*(INDEX(Species!$P$2:$P$300,$R85)-1)/4,""),"")</f>
        <v/>
      </c>
      <c r="O85" s="10" t="n">
        <f aca="false">IFERROR(IF(ISNUMBER(INDEX(onset_ord,MATCH(INDEX(Species!$Q$2:$Q$300,$R85),onset_labels,0))),ord_floor+(ord_ceil-ord_floor)*(IF(onset_dir="mortality",6-INDEX(onset_ord,MATCH(INDEX(Species!$Q$2:$Q$300,$R85),onset_labels,0)),INDEX(onset_ord,MATCH(INDEX(Species!$Q$2:$Q$300,$R85),onset_labels,0)))-1)/4,""),"")</f>
        <v>30</v>
      </c>
      <c r="P85" s="10" t="n">
        <f aca="false">IFERROR(IF(ISNUMBER(INDEX(access_ord,MATCH(INDEX(Species!$R$2:$R$300,$R85),access_labels,0))),ord_floor+(ord_ceil-ord_floor)*(INDEX(access_ord,MATCH(INDEX(Species!$R$2:$R$300,$R85),access_labels,0))-1)/4,""),"")</f>
        <v>50</v>
      </c>
      <c r="Q85" s="5" t="n">
        <f aca="false">ISNUMBER(M85)*(w_enc&gt;0)+ISNUMBER(N85)*(w_bite&gt;0)+ISNUMBER(O85)*(w_onset&gt;0)+ISNUMBER(P85)*(w_access&gt;0)</f>
        <v>3</v>
      </c>
      <c r="R85" s="11" t="n">
        <f aca="false">IFERROR(MATCH($A85,Species!$A$2:$A$300,0),"")</f>
        <v>89</v>
      </c>
    </row>
    <row r="86" customFormat="false" ht="14.25" hidden="false" customHeight="true" outlineLevel="0" collapsed="false">
      <c r="A86" s="4" t="s">
        <v>102</v>
      </c>
      <c r="B86" s="5" t="str">
        <f aca="false">IFERROR(INDEX(Species!$B$2:$B$300,$R86),"NOT IN SPECIES")</f>
        <v>Central Ranges taipan</v>
      </c>
      <c r="C86" s="6" t="str">
        <f aca="false">IF(w_pot+w_qty&lt;=0,"",IF(AND(OR(w_pot=0,ISNUMBER(K86)),OR(w_qty=0,ISNUMBER(L86))),(w_pot*N(K86)+w_qty*N(L86))/(w_pot*ISNUMBER(K86)+w_qty*ISNUMBER(L86)),IF(ISNUMBER(K86),"needs yield","needs LD50")))</f>
        <v>needs yield</v>
      </c>
      <c r="D86" s="7" t="str">
        <f aca="false">IF(ISNUMBER(C86),RANK(C86,$C$2:$C$300),"")</f>
        <v/>
      </c>
      <c r="E86" s="6" t="str">
        <f aca="false">IF(w_enc+w_bite+w_onset+w_access&lt;=0,"",IF(Q86&lt;min_dims,"insufficient data",(w_enc*N(M86)+w_bite*N(N86)+w_onset*N(O86)+w_access*N(P86))/(w_enc*ISNUMBER(M86)+w_bite*ISNUMBER(N86)+w_onset*ISNUMBER(O86)+w_access*ISNUMBER(P86))))</f>
        <v>insufficient data</v>
      </c>
      <c r="F86" s="7" t="str">
        <f aca="false">IF(ISNUMBER(E86),RANK(E86,$E$2:$E$300),"")</f>
        <v/>
      </c>
      <c r="G86" s="8" t="str">
        <f aca="false">IFERROR(IF(OR(INDEX(Species!$I$2:$I$300,$R86)="",INDEX(Species!$M$2:$M$300,$R86)=""),"",CHAR(MAX(CODE(INDEX(Species!$I$2:$I$300,$R86)),CODE(INDEX(Species!$M$2:$M$300,$R86))))),"")</f>
        <v/>
      </c>
      <c r="H86" s="9" t="str">
        <f aca="false">IFERROR(MID(IF(AND(ISNUMBER(INDEX(Species!$J$2:$J$300,$R86)),N(INDEX(Species!$J$2:$J$300,$R86))&gt;1.5),"; LD50 sources differ "&amp;TEXT(INDEX(Species!$J$2:$J$300,$R86),"0.0")&amp;"x","")&amp;IF(AND(INDEX(Species!$H$2:$H$300,$R86)&lt;&gt;"",INDEX(Species!$H$2:$H$300,$R86)&lt;&gt;"SC"),"; LD50 route "&amp;INDEX(Species!$H$2:$H$300,$R86),"")&amp;IF(INDEX(Species!$I$2:$I$300,$R86)="D","; LD50 Tier D","")&amp;IF(AND(ISNUMBER(INDEX(Species!$N$2:$N$300,$R86)),N(INDEX(Species!$N$2:$N$300,$R86))&gt;1.5),"; yield sources differ "&amp;TEXT(INDEX(Species!$N$2:$N$300,$R86),"0.0")&amp;"x","")&amp;IF(INDEX(Species!$M$2:$M$300,$R86)="D","; yield Tier D",""),3,300),"")</f>
        <v>LD50 route unknown</v>
      </c>
      <c r="I86" s="5" t="str">
        <f aca="false">IFERROR(INDEX(Species!$S$2:$S$300,$R86)&amp;"","")</f>
        <v/>
      </c>
      <c r="J86" s="5" t="str">
        <f aca="false">IFERROR(INDEX(Species!$T$2:$T$300,$R86)&amp;"","")</f>
        <v/>
      </c>
      <c r="K86" s="10" t="n">
        <f aca="false">IFERROR(MEDIAN(0,100*(LOG10(ld_least)-LOG10(INDEX(Species!$G$2:$G$300,$R86)))/(LOG10(ld_least)-LOG10(ld_most)),100),"")</f>
        <v>87.8807984780524</v>
      </c>
      <c r="L86" s="10" t="str">
        <f aca="false">IFERROR(MEDIAN(0,100*(LOG10(INDEX(Species!$L$2:$L$300,$R86))-LOG10(y_min))/(LOG10(y_max)-LOG10(y_min)),100),"")</f>
        <v/>
      </c>
      <c r="M86" s="10" t="n">
        <f aca="false">IFERROR(IF(ISNUMBER(INDEX(Species!$O$2:$O$300,$R86)),ord_floor+(ord_ceil-ord_floor)*(INDEX(Species!$O$2:$O$300,$R86)-1)/9,""),"")</f>
        <v>10</v>
      </c>
      <c r="N86" s="10" t="str">
        <f aca="false">IFERROR(IF(ISNUMBER(INDEX(Species!$P$2:$P$300,$R86)),ord_floor+(ord_ceil-ord_floor)*(INDEX(Species!$P$2:$P$300,$R86)-1)/4,""),"")</f>
        <v/>
      </c>
      <c r="O86" s="10" t="str">
        <f aca="false">IFERROR(IF(ISNUMBER(INDEX(onset_ord,MATCH(INDEX(Species!$Q$2:$Q$300,$R86),onset_labels,0))),ord_floor+(ord_ceil-ord_floor)*(IF(onset_dir="mortality",6-INDEX(onset_ord,MATCH(INDEX(Species!$Q$2:$Q$300,$R86),onset_labels,0)),INDEX(onset_ord,MATCH(INDEX(Species!$Q$2:$Q$300,$R86),onset_labels,0)))-1)/4,""),"")</f>
        <v/>
      </c>
      <c r="P86" s="10" t="n">
        <f aca="false">IFERROR(IF(ISNUMBER(INDEX(access_ord,MATCH(INDEX(Species!$R$2:$R$300,$R86),access_labels,0))),ord_floor+(ord_ceil-ord_floor)*(INDEX(access_ord,MATCH(INDEX(Species!$R$2:$R$300,$R86),access_labels,0))-1)/4,""),"")</f>
        <v>10</v>
      </c>
      <c r="Q86" s="5" t="n">
        <f aca="false">ISNUMBER(M86)*(w_enc&gt;0)+ISNUMBER(N86)*(w_bite&gt;0)+ISNUMBER(O86)*(w_onset&gt;0)+ISNUMBER(P86)*(w_access&gt;0)</f>
        <v>2</v>
      </c>
      <c r="R86" s="11" t="n">
        <f aca="false">IFERROR(MATCH($A86,Species!$A$2:$A$300,0),"")</f>
        <v>78</v>
      </c>
    </row>
    <row r="87" customFormat="false" ht="14.25" hidden="false" customHeight="true" outlineLevel="0" collapsed="false">
      <c r="A87" s="4" t="s">
        <v>103</v>
      </c>
      <c r="B87" s="5" t="str">
        <f aca="false">IFERROR(INDEX(Species!$B$2:$B$300,$R87),"NOT IN SPECIES")</f>
        <v>Collett's snake</v>
      </c>
      <c r="C87" s="6" t="str">
        <f aca="false">IF(w_pot+w_qty&lt;=0,"",IF(AND(OR(w_pot=0,ISNUMBER(K87)),OR(w_qty=0,ISNUMBER(L87))),(w_pot*N(K87)+w_qty*N(L87))/(w_pot*ISNUMBER(K87)+w_qty*ISNUMBER(L87)),IF(ISNUMBER(K87),"needs yield","needs LD50")))</f>
        <v>needs yield</v>
      </c>
      <c r="D87" s="7" t="str">
        <f aca="false">IF(ISNUMBER(C87),RANK(C87,$C$2:$C$300),"")</f>
        <v/>
      </c>
      <c r="E87" s="6" t="n">
        <f aca="false">IF(w_enc+w_bite+w_onset+w_access&lt;=0,"",IF(Q87&lt;min_dims,"insufficient data",(w_enc*N(M87)+w_bite*N(N87)+w_onset*N(O87)+w_access*N(P87))/(w_enc*ISNUMBER(M87)+w_bite*ISNUMBER(N87)+w_onset*ISNUMBER(O87)+w_access*ISNUMBER(P87))))</f>
        <v>34.1025641025641</v>
      </c>
      <c r="F87" s="7" t="n">
        <f aca="false">IF(ISNUMBER(E87),RANK(E87,$E$2:$E$300),"")</f>
        <v>72</v>
      </c>
      <c r="G87" s="8" t="str">
        <f aca="false">IFERROR(IF(OR(INDEX(Species!$I$2:$I$300,$R87)="",INDEX(Species!$M$2:$M$300,$R87)=""),"",CHAR(MAX(CODE(INDEX(Species!$I$2:$I$300,$R87)),CODE(INDEX(Species!$M$2:$M$300,$R87))))),"")</f>
        <v/>
      </c>
      <c r="H87" s="9" t="str">
        <f aca="false">IFERROR(MID(IF(AND(ISNUMBER(INDEX(Species!$J$2:$J$300,$R87)),N(INDEX(Species!$J$2:$J$300,$R87))&gt;1.5),"; LD50 sources differ "&amp;TEXT(INDEX(Species!$J$2:$J$300,$R87),"0.0")&amp;"x","")&amp;IF(AND(INDEX(Species!$H$2:$H$300,$R87)&lt;&gt;"",INDEX(Species!$H$2:$H$300,$R87)&lt;&gt;"SC"),"; LD50 route "&amp;INDEX(Species!$H$2:$H$300,$R87),"")&amp;IF(INDEX(Species!$I$2:$I$300,$R87)="D","; LD50 Tier D","")&amp;IF(AND(ISNUMBER(INDEX(Species!$N$2:$N$300,$R87)),N(INDEX(Species!$N$2:$N$300,$R87))&gt;1.5),"; yield sources differ "&amp;TEXT(INDEX(Species!$N$2:$N$300,$R87),"0.0")&amp;"x","")&amp;IF(INDEX(Species!$M$2:$M$300,$R87)="D","; yield Tier D",""),3,300),"")</f>
        <v/>
      </c>
      <c r="I87" s="5" t="str">
        <f aca="false">IFERROR(INDEX(Species!$S$2:$S$300,$R87)&amp;"","")</f>
        <v/>
      </c>
      <c r="J87" s="5" t="str">
        <f aca="false">IFERROR(INDEX(Species!$T$2:$T$300,$R87)&amp;"","")</f>
        <v/>
      </c>
      <c r="K87" s="10" t="n">
        <f aca="false">IFERROR(MEDIAN(0,100*(LOG10(ld_least)-LOG10(INDEX(Species!$G$2:$G$300,$R87)))/(LOG10(ld_least)-LOG10(ld_most)),100),"")</f>
        <v>24.7999874383396</v>
      </c>
      <c r="L87" s="10" t="str">
        <f aca="false">IFERROR(MEDIAN(0,100*(LOG10(INDEX(Species!$L$2:$L$300,$R87))-LOG10(y_min))/(LOG10(y_max)-LOG10(y_min)),100),"")</f>
        <v/>
      </c>
      <c r="M87" s="10" t="n">
        <f aca="false">IFERROR(IF(ISNUMBER(INDEX(Species!$O$2:$O$300,$R87)),ord_floor+(ord_ceil-ord_floor)*(INDEX(Species!$O$2:$O$300,$R87)-1)/9,""),"")</f>
        <v>36.6666666666667</v>
      </c>
      <c r="N87" s="10" t="n">
        <f aca="false">IFERROR(IF(ISNUMBER(INDEX(Species!$P$2:$P$300,$R87)),ord_floor+(ord_ceil-ord_floor)*(INDEX(Species!$P$2:$P$300,$R87)-1)/4,""),"")</f>
        <v>30</v>
      </c>
      <c r="O87" s="10" t="n">
        <f aca="false">IFERROR(IF(ISNUMBER(INDEX(onset_ord,MATCH(INDEX(Species!$Q$2:$Q$300,$R87),onset_labels,0))),ord_floor+(ord_ceil-ord_floor)*(IF(onset_dir="mortality",6-INDEX(onset_ord,MATCH(INDEX(Species!$Q$2:$Q$300,$R87),onset_labels,0)),INDEX(onset_ord,MATCH(INDEX(Species!$Q$2:$Q$300,$R87),onset_labels,0)))-1)/4,""),"")</f>
        <v>50</v>
      </c>
      <c r="P87" s="10" t="n">
        <f aca="false">IFERROR(IF(ISNUMBER(INDEX(access_ord,MATCH(INDEX(Species!$R$2:$R$300,$R87),access_labels,0))),ord_floor+(ord_ceil-ord_floor)*(INDEX(access_ord,MATCH(INDEX(Species!$R$2:$R$300,$R87),access_labels,0))-1)/4,""),"")</f>
        <v>10</v>
      </c>
      <c r="Q87" s="5" t="n">
        <f aca="false">ISNUMBER(M87)*(w_enc&gt;0)+ISNUMBER(N87)*(w_bite&gt;0)+ISNUMBER(O87)*(w_onset&gt;0)+ISNUMBER(P87)*(w_access&gt;0)</f>
        <v>4</v>
      </c>
      <c r="R87" s="11" t="n">
        <f aca="false">IFERROR(MATCH($A87,Species!$A$2:$A$300,0),"")</f>
        <v>73</v>
      </c>
    </row>
    <row r="88" customFormat="false" ht="14.25" hidden="false" customHeight="true" outlineLevel="0" collapsed="false">
      <c r="A88" s="4" t="s">
        <v>104</v>
      </c>
      <c r="B88" s="5" t="str">
        <f aca="false">IFERROR(INDEX(Species!$B$2:$B$300,$R88),"NOT IN SPECIES")</f>
        <v>Blue-bellied black snake</v>
      </c>
      <c r="C88" s="6" t="str">
        <f aca="false">IF(w_pot+w_qty&lt;=0,"",IF(AND(OR(w_pot=0,ISNUMBER(K88)),OR(w_qty=0,ISNUMBER(L88))),(w_pot*N(K88)+w_qty*N(L88))/(w_pot*ISNUMBER(K88)+w_qty*ISNUMBER(L88)),IF(ISNUMBER(K88),"needs yield","needs LD50")))</f>
        <v>needs yield</v>
      </c>
      <c r="D88" s="7" t="str">
        <f aca="false">IF(ISNUMBER(C88),RANK(C88,$C$2:$C$300),"")</f>
        <v/>
      </c>
      <c r="E88" s="6" t="n">
        <f aca="false">IF(w_enc+w_bite+w_onset+w_access&lt;=0,"",IF(Q88&lt;min_dims,"insufficient data",(w_enc*N(M88)+w_bite*N(N88)+w_onset*N(O88)+w_access*N(P88))/(w_enc*ISNUMBER(M88)+w_bite*ISNUMBER(N88)+w_onset*ISNUMBER(O88)+w_access*ISNUMBER(P88))))</f>
        <v>37.5213675213675</v>
      </c>
      <c r="F88" s="7" t="n">
        <f aca="false">IF(ISNUMBER(E88),RANK(E88,$E$2:$E$300),"")</f>
        <v>63</v>
      </c>
      <c r="G88" s="8" t="str">
        <f aca="false">IFERROR(IF(OR(INDEX(Species!$I$2:$I$300,$R88)="",INDEX(Species!$M$2:$M$300,$R88)=""),"",CHAR(MAX(CODE(INDEX(Species!$I$2:$I$300,$R88)),CODE(INDEX(Species!$M$2:$M$300,$R88))))),"")</f>
        <v/>
      </c>
      <c r="H88" s="9" t="str">
        <f aca="false">IFERROR(MID(IF(AND(ISNUMBER(INDEX(Species!$J$2:$J$300,$R88)),N(INDEX(Species!$J$2:$J$300,$R88))&gt;1.5),"; LD50 sources differ "&amp;TEXT(INDEX(Species!$J$2:$J$300,$R88),"0.0")&amp;"x","")&amp;IF(AND(INDEX(Species!$H$2:$H$300,$R88)&lt;&gt;"",INDEX(Species!$H$2:$H$300,$R88)&lt;&gt;"SC"),"; LD50 route "&amp;INDEX(Species!$H$2:$H$300,$R88),"")&amp;IF(INDEX(Species!$I$2:$I$300,$R88)="D","; LD50 Tier D","")&amp;IF(AND(ISNUMBER(INDEX(Species!$N$2:$N$300,$R88)),N(INDEX(Species!$N$2:$N$300,$R88))&gt;1.5),"; yield sources differ "&amp;TEXT(INDEX(Species!$N$2:$N$300,$R88),"0.0")&amp;"x","")&amp;IF(INDEX(Species!$M$2:$M$300,$R88)="D","; yield Tier D",""),3,300),"")</f>
        <v/>
      </c>
      <c r="I88" s="5" t="str">
        <f aca="false">IFERROR(INDEX(Species!$S$2:$S$300,$R88)&amp;"","")</f>
        <v/>
      </c>
      <c r="J88" s="5" t="str">
        <f aca="false">IFERROR(INDEX(Species!$T$2:$T$300,$R88)&amp;"","")</f>
        <v/>
      </c>
      <c r="K88" s="10" t="n">
        <f aca="false">IFERROR(MEDIAN(0,100*(LOG10(ld_least)-LOG10(INDEX(Species!$G$2:$G$300,$R88)))/(LOG10(ld_least)-LOG10(ld_most)),100),"")</f>
        <v>26.8248268516103</v>
      </c>
      <c r="L88" s="10" t="str">
        <f aca="false">IFERROR(MEDIAN(0,100*(LOG10(INDEX(Species!$L$2:$L$300,$R88))-LOG10(y_min))/(LOG10(y_max)-LOG10(y_min)),100),"")</f>
        <v/>
      </c>
      <c r="M88" s="10" t="n">
        <f aca="false">IFERROR(IF(ISNUMBER(INDEX(Species!$O$2:$O$300,$R88)),ord_floor+(ord_ceil-ord_floor)*(INDEX(Species!$O$2:$O$300,$R88)-1)/9,""),"")</f>
        <v>45.5555555555556</v>
      </c>
      <c r="N88" s="10" t="n">
        <f aca="false">IFERROR(IF(ISNUMBER(INDEX(Species!$P$2:$P$300,$R88)),ord_floor+(ord_ceil-ord_floor)*(INDEX(Species!$P$2:$P$300,$R88)-1)/4,""),"")</f>
        <v>30</v>
      </c>
      <c r="O88" s="10" t="n">
        <f aca="false">IFERROR(IF(ISNUMBER(INDEX(onset_ord,MATCH(INDEX(Species!$Q$2:$Q$300,$R88),onset_labels,0))),ord_floor+(ord_ceil-ord_floor)*(IF(onset_dir="mortality",6-INDEX(onset_ord,MATCH(INDEX(Species!$Q$2:$Q$300,$R88),onset_labels,0)),INDEX(onset_ord,MATCH(INDEX(Species!$Q$2:$Q$300,$R88),onset_labels,0)))-1)/4,""),"")</f>
        <v>50</v>
      </c>
      <c r="P88" s="10" t="n">
        <f aca="false">IFERROR(IF(ISNUMBER(INDEX(access_ord,MATCH(INDEX(Species!$R$2:$R$300,$R88),access_labels,0))),ord_floor+(ord_ceil-ord_floor)*(INDEX(access_ord,MATCH(INDEX(Species!$R$2:$R$300,$R88),access_labels,0))-1)/4,""),"")</f>
        <v>10</v>
      </c>
      <c r="Q88" s="5" t="n">
        <f aca="false">ISNUMBER(M88)*(w_enc&gt;0)+ISNUMBER(N88)*(w_bite&gt;0)+ISNUMBER(O88)*(w_onset&gt;0)+ISNUMBER(P88)*(w_access&gt;0)</f>
        <v>4</v>
      </c>
      <c r="R88" s="11" t="n">
        <f aca="false">IFERROR(MATCH($A88,Species!$A$2:$A$300,0),"")</f>
        <v>71</v>
      </c>
    </row>
    <row r="89" customFormat="false" ht="14.25" hidden="false" customHeight="true" outlineLevel="0" collapsed="false">
      <c r="A89" s="4" t="s">
        <v>105</v>
      </c>
      <c r="B89" s="5" t="str">
        <f aca="false">IFERROR(INDEX(Species!$B$2:$B$300,$R89),"NOT IN SPECIES")</f>
        <v>Papuan black snake</v>
      </c>
      <c r="C89" s="6" t="n">
        <f aca="false">IF(w_pot+w_qty&lt;=0,"",IF(AND(OR(w_pot=0,ISNUMBER(K89)),OR(w_qty=0,ISNUMBER(L89))),(w_pot*N(K89)+w_qty*N(L89))/(w_pot*ISNUMBER(K89)+w_qty*ISNUMBER(L89)),IF(ISNUMBER(K89),"needs yield","needs LD50")))</f>
        <v>64.0745199116528</v>
      </c>
      <c r="D89" s="7" t="n">
        <f aca="false">IF(ISNUMBER(C89),RANK(C89,$C$2:$C$300),"")</f>
        <v>32</v>
      </c>
      <c r="E89" s="6" t="n">
        <f aca="false">IF(w_enc+w_bite+w_onset+w_access&lt;=0,"",IF(Q89&lt;min_dims,"insufficient data",(w_enc*N(M89)+w_bite*N(N89)+w_onset*N(O89)+w_access*N(P89))/(w_enc*ISNUMBER(M89)+w_bite*ISNUMBER(N89)+w_onset*ISNUMBER(O89)+w_access*ISNUMBER(P89))))</f>
        <v>33.4188034188034</v>
      </c>
      <c r="F89" s="7" t="n">
        <f aca="false">IF(ISNUMBER(E89),RANK(E89,$E$2:$E$300),"")</f>
        <v>74</v>
      </c>
      <c r="G89" s="8" t="str">
        <f aca="false">IFERROR(IF(OR(INDEX(Species!$I$2:$I$300,$R89)="",INDEX(Species!$M$2:$M$300,$R89)=""),"",CHAR(MAX(CODE(INDEX(Species!$I$2:$I$300,$R89)),CODE(INDEX(Species!$M$2:$M$300,$R89))))),"")</f>
        <v>C</v>
      </c>
      <c r="H89" s="9" t="str">
        <f aca="false">IFERROR(MID(IF(AND(ISNUMBER(INDEX(Species!$J$2:$J$300,$R89)),N(INDEX(Species!$J$2:$J$300,$R89))&gt;1.5),"; LD50 sources differ "&amp;TEXT(INDEX(Species!$J$2:$J$300,$R89),"0.0")&amp;"x","")&amp;IF(AND(INDEX(Species!$H$2:$H$300,$R89)&lt;&gt;"",INDEX(Species!$H$2:$H$300,$R89)&lt;&gt;"SC"),"; LD50 route "&amp;INDEX(Species!$H$2:$H$300,$R89),"")&amp;IF(INDEX(Species!$I$2:$I$300,$R89)="D","; LD50 Tier D","")&amp;IF(AND(ISNUMBER(INDEX(Species!$N$2:$N$300,$R89)),N(INDEX(Species!$N$2:$N$300,$R89))&gt;1.5),"; yield sources differ "&amp;TEXT(INDEX(Species!$N$2:$N$300,$R89),"0.0")&amp;"x","")&amp;IF(INDEX(Species!$M$2:$M$300,$R89)="D","; yield Tier D",""),3,300),"")</f>
        <v/>
      </c>
      <c r="I89" s="5" t="str">
        <f aca="false">IFERROR(INDEX(Species!$S$2:$S$300,$R89)&amp;"","")</f>
        <v/>
      </c>
      <c r="J89" s="5" t="str">
        <f aca="false">IFERROR(INDEX(Species!$T$2:$T$300,$R89)&amp;"","")</f>
        <v/>
      </c>
      <c r="K89" s="10" t="n">
        <f aca="false">IFERROR(MEDIAN(0,100*(LOG10(ld_least)-LOG10(INDEX(Species!$G$2:$G$300,$R89)))/(LOG10(ld_least)-LOG10(ld_most)),100),"")</f>
        <v>39.0481808576866</v>
      </c>
      <c r="L89" s="10" t="n">
        <f aca="false">IFERROR(MEDIAN(0,100*(LOG10(INDEX(Species!$L$2:$L$300,$R89))-LOG10(y_min))/(LOG10(y_max)-LOG10(y_min)),100),"")</f>
        <v>89.1008589656191</v>
      </c>
      <c r="M89" s="10" t="n">
        <f aca="false">IFERROR(IF(ISNUMBER(INDEX(Species!$O$2:$O$300,$R89)),ord_floor+(ord_ceil-ord_floor)*(INDEX(Species!$O$2:$O$300,$R89)-1)/9,""),"")</f>
        <v>18.8888888888889</v>
      </c>
      <c r="N89" s="10" t="n">
        <f aca="false">IFERROR(IF(ISNUMBER(INDEX(Species!$P$2:$P$300,$R89)),ord_floor+(ord_ceil-ord_floor)*(INDEX(Species!$P$2:$P$300,$R89)-1)/4,""),"")</f>
        <v>50</v>
      </c>
      <c r="O89" s="10" t="n">
        <f aca="false">IFERROR(IF(ISNUMBER(INDEX(onset_ord,MATCH(INDEX(Species!$Q$2:$Q$300,$R89),onset_labels,0))),ord_floor+(ord_ceil-ord_floor)*(IF(onset_dir="mortality",6-INDEX(onset_ord,MATCH(INDEX(Species!$Q$2:$Q$300,$R89),onset_labels,0)),INDEX(onset_ord,MATCH(INDEX(Species!$Q$2:$Q$300,$R89),onset_labels,0)))-1)/4,""),"")</f>
        <v>30</v>
      </c>
      <c r="P89" s="10" t="n">
        <f aca="false">IFERROR(IF(ISNUMBER(INDEX(access_ord,MATCH(INDEX(Species!$R$2:$R$300,$R89),access_labels,0))),ord_floor+(ord_ceil-ord_floor)*(INDEX(access_ord,MATCH(INDEX(Species!$R$2:$R$300,$R89),access_labels,0))-1)/4,""),"")</f>
        <v>50</v>
      </c>
      <c r="Q89" s="5" t="n">
        <f aca="false">ISNUMBER(M89)*(w_enc&gt;0)+ISNUMBER(N89)*(w_bite&gt;0)+ISNUMBER(O89)*(w_onset&gt;0)+ISNUMBER(P89)*(w_access&gt;0)</f>
        <v>4</v>
      </c>
      <c r="R89" s="11" t="n">
        <f aca="false">IFERROR(MATCH($A89,Species!$A$2:$A$300,0),"")</f>
        <v>91</v>
      </c>
    </row>
    <row r="90" customFormat="false" ht="14.25" hidden="false" customHeight="true" outlineLevel="0" collapsed="false">
      <c r="A90" s="4" t="s">
        <v>106</v>
      </c>
      <c r="B90" s="5" t="str">
        <f aca="false">IFERROR(INDEX(Species!$B$2:$B$300,$R90),"NOT IN SPECIES")</f>
        <v>Dugite</v>
      </c>
      <c r="C90" s="6" t="n">
        <f aca="false">IF(w_pot+w_qty&lt;=0,"",IF(AND(OR(w_pot=0,ISNUMBER(K90)),OR(w_qty=0,ISNUMBER(L90))),(w_pot*N(K90)+w_qty*N(L90))/(w_pot*ISNUMBER(K90)+w_qty*ISNUMBER(L90)),IF(ISNUMBER(K90),"needs yield","needs LD50")))</f>
        <v>53.4357689088736</v>
      </c>
      <c r="D90" s="7" t="n">
        <f aca="false">IF(ISNUMBER(C90),RANK(C90,$C$2:$C$300),"")</f>
        <v>53</v>
      </c>
      <c r="E90" s="6" t="n">
        <f aca="false">IF(w_enc+w_bite+w_onset+w_access&lt;=0,"",IF(Q90&lt;min_dims,"insufficient data",(w_enc*N(M90)+w_bite*N(N90)+w_onset*N(O90)+w_access*N(P90))/(w_enc*ISNUMBER(M90)+w_bite*ISNUMBER(N90)+w_onset*ISNUMBER(O90)+w_access*ISNUMBER(P90))))</f>
        <v>40.9401709401709</v>
      </c>
      <c r="F90" s="7" t="n">
        <f aca="false">IF(ISNUMBER(E90),RANK(E90,$E$2:$E$300),"")</f>
        <v>53</v>
      </c>
      <c r="G90" s="8" t="str">
        <f aca="false">IFERROR(IF(OR(INDEX(Species!$I$2:$I$300,$R90)="",INDEX(Species!$M$2:$M$300,$R90)=""),"",CHAR(MAX(CODE(INDEX(Species!$I$2:$I$300,$R90)),CODE(INDEX(Species!$M$2:$M$300,$R90))))),"")</f>
        <v>A</v>
      </c>
      <c r="H90" s="9" t="str">
        <f aca="false">IFERROR(MID(IF(AND(ISNUMBER(INDEX(Species!$J$2:$J$300,$R90)),N(INDEX(Species!$J$2:$J$300,$R90))&gt;1.5),"; LD50 sources differ "&amp;TEXT(INDEX(Species!$J$2:$J$300,$R90),"0.0")&amp;"x","")&amp;IF(AND(INDEX(Species!$H$2:$H$300,$R90)&lt;&gt;"",INDEX(Species!$H$2:$H$300,$R90)&lt;&gt;"SC"),"; LD50 route "&amp;INDEX(Species!$H$2:$H$300,$R90),"")&amp;IF(INDEX(Species!$I$2:$I$300,$R90)="D","; LD50 Tier D","")&amp;IF(AND(ISNUMBER(INDEX(Species!$N$2:$N$300,$R90)),N(INDEX(Species!$N$2:$N$300,$R90))&gt;1.5),"; yield sources differ "&amp;TEXT(INDEX(Species!$N$2:$N$300,$R90),"0.0")&amp;"x","")&amp;IF(INDEX(Species!$M$2:$M$300,$R90)="D","; yield Tier D",""),3,300),"")</f>
        <v>yield sources differ 3.1x</v>
      </c>
      <c r="I90" s="5" t="str">
        <f aca="false">IFERROR(INDEX(Species!$S$2:$S$300,$R90)&amp;"","")</f>
        <v/>
      </c>
      <c r="J90" s="5" t="str">
        <f aca="false">IFERROR(INDEX(Species!$T$2:$T$300,$R90)&amp;"","")</f>
        <v/>
      </c>
      <c r="K90" s="10" t="n">
        <f aca="false">IFERROR(MEDIAN(0,100*(LOG10(ld_least)-LOG10(INDEX(Species!$G$2:$G$300,$R90)))/(LOG10(ld_least)-LOG10(ld_most)),100),"")</f>
        <v>48.2017373642977</v>
      </c>
      <c r="L90" s="10" t="n">
        <f aca="false">IFERROR(MEDIAN(0,100*(LOG10(INDEX(Species!$L$2:$L$300,$R90))-LOG10(y_min))/(LOG10(y_max)-LOG10(y_min)),100),"")</f>
        <v>58.6698004534495</v>
      </c>
      <c r="M90" s="10" t="n">
        <f aca="false">IFERROR(IF(ISNUMBER(INDEX(Species!$O$2:$O$300,$R90)),ord_floor+(ord_ceil-ord_floor)*(INDEX(Species!$O$2:$O$300,$R90)-1)/9,""),"")</f>
        <v>54.4444444444444</v>
      </c>
      <c r="N90" s="10" t="n">
        <f aca="false">IFERROR(IF(ISNUMBER(INDEX(Species!$P$2:$P$300,$R90)),ord_floor+(ord_ceil-ord_floor)*(INDEX(Species!$P$2:$P$300,$R90)-1)/4,""),"")</f>
        <v>50</v>
      </c>
      <c r="O90" s="10" t="n">
        <f aca="false">IFERROR(IF(ISNUMBER(INDEX(onset_ord,MATCH(INDEX(Species!$Q$2:$Q$300,$R90),onset_labels,0))),ord_floor+(ord_ceil-ord_floor)*(IF(onset_dir="mortality",6-INDEX(onset_ord,MATCH(INDEX(Species!$Q$2:$Q$300,$R90),onset_labels,0)),INDEX(onset_ord,MATCH(INDEX(Species!$Q$2:$Q$300,$R90),onset_labels,0)))-1)/4,""),"")</f>
        <v>30</v>
      </c>
      <c r="P90" s="10" t="n">
        <f aca="false">IFERROR(IF(ISNUMBER(INDEX(access_ord,MATCH(INDEX(Species!$R$2:$R$300,$R90),access_labels,0))),ord_floor+(ord_ceil-ord_floor)*(INDEX(access_ord,MATCH(INDEX(Species!$R$2:$R$300,$R90),access_labels,0))-1)/4,""),"")</f>
        <v>10</v>
      </c>
      <c r="Q90" s="5" t="n">
        <f aca="false">ISNUMBER(M90)*(w_enc&gt;0)+ISNUMBER(N90)*(w_bite&gt;0)+ISNUMBER(O90)*(w_onset&gt;0)+ISNUMBER(P90)*(w_access&gt;0)</f>
        <v>4</v>
      </c>
      <c r="R90" s="11" t="n">
        <f aca="false">IFERROR(MATCH($A90,Species!$A$2:$A$300,0),"")</f>
        <v>69</v>
      </c>
    </row>
    <row r="91" customFormat="false" ht="14.25" hidden="false" customHeight="true" outlineLevel="0" collapsed="false">
      <c r="A91" s="4" t="s">
        <v>107</v>
      </c>
      <c r="B91" s="5" t="str">
        <f aca="false">IFERROR(INDEX(Species!$B$2:$B$300,$R91),"NOT IN SPECIES")</f>
        <v>Speckled brown snake</v>
      </c>
      <c r="C91" s="6" t="str">
        <f aca="false">IF(w_pot+w_qty&lt;=0,"",IF(AND(OR(w_pot=0,ISNUMBER(K91)),OR(w_qty=0,ISNUMBER(L91))),(w_pot*N(K91)+w_qty*N(L91))/(w_pot*ISNUMBER(K91)+w_qty*ISNUMBER(L91)),IF(ISNUMBER(K91),"needs yield","needs LD50")))</f>
        <v>needs yield</v>
      </c>
      <c r="D91" s="7" t="str">
        <f aca="false">IF(ISNUMBER(C91),RANK(C91,$C$2:$C$300),"")</f>
        <v/>
      </c>
      <c r="E91" s="6" t="n">
        <f aca="false">IF(w_enc+w_bite+w_onset+w_access&lt;=0,"",IF(Q91&lt;min_dims,"insufficient data",(w_enc*N(M91)+w_bite*N(N91)+w_onset*N(O91)+w_access*N(P91))/(w_enc*ISNUMBER(M91)+w_bite*ISNUMBER(N91)+w_onset*ISNUMBER(O91)+w_access*ISNUMBER(P91))))</f>
        <v>37.5213675213675</v>
      </c>
      <c r="F91" s="7" t="n">
        <f aca="false">IF(ISNUMBER(E91),RANK(E91,$E$2:$E$300),"")</f>
        <v>63</v>
      </c>
      <c r="G91" s="8" t="str">
        <f aca="false">IFERROR(IF(OR(INDEX(Species!$I$2:$I$300,$R91)="",INDEX(Species!$M$2:$M$300,$R91)=""),"",CHAR(MAX(CODE(INDEX(Species!$I$2:$I$300,$R91)),CODE(INDEX(Species!$M$2:$M$300,$R91))))),"")</f>
        <v/>
      </c>
      <c r="H91" s="9" t="str">
        <f aca="false">IFERROR(MID(IF(AND(ISNUMBER(INDEX(Species!$J$2:$J$300,$R91)),N(INDEX(Species!$J$2:$J$300,$R91))&gt;1.5),"; LD50 sources differ "&amp;TEXT(INDEX(Species!$J$2:$J$300,$R91),"0.0")&amp;"x","")&amp;IF(AND(INDEX(Species!$H$2:$H$300,$R91)&lt;&gt;"",INDEX(Species!$H$2:$H$300,$R91)&lt;&gt;"SC"),"; LD50 route "&amp;INDEX(Species!$H$2:$H$300,$R91),"")&amp;IF(INDEX(Species!$I$2:$I$300,$R91)="D","; LD50 Tier D","")&amp;IF(AND(ISNUMBER(INDEX(Species!$N$2:$N$300,$R91)),N(INDEX(Species!$N$2:$N$300,$R91))&gt;1.5),"; yield sources differ "&amp;TEXT(INDEX(Species!$N$2:$N$300,$R91),"0.0")&amp;"x","")&amp;IF(INDEX(Species!$M$2:$M$300,$R91)="D","; yield Tier D",""),3,300),"")</f>
        <v/>
      </c>
      <c r="I91" s="5" t="str">
        <f aca="false">IFERROR(INDEX(Species!$S$2:$S$300,$R91)&amp;"","")</f>
        <v/>
      </c>
      <c r="J91" s="5" t="str">
        <f aca="false">IFERROR(INDEX(Species!$T$2:$T$300,$R91)&amp;"","")</f>
        <v/>
      </c>
      <c r="K91" s="10" t="n">
        <f aca="false">IFERROR(MEDIAN(0,100*(LOG10(ld_least)-LOG10(INDEX(Species!$G$2:$G$300,$R91)))/(LOG10(ld_least)-LOG10(ld_most)),100),"")</f>
        <v>59.2608846478726</v>
      </c>
      <c r="L91" s="10" t="str">
        <f aca="false">IFERROR(MEDIAN(0,100*(LOG10(INDEX(Species!$L$2:$L$300,$R91))-LOG10(y_min))/(LOG10(y_max)-LOG10(y_min)),100),"")</f>
        <v/>
      </c>
      <c r="M91" s="10" t="n">
        <f aca="false">IFERROR(IF(ISNUMBER(INDEX(Species!$O$2:$O$300,$R91)),ord_floor+(ord_ceil-ord_floor)*(INDEX(Species!$O$2:$O$300,$R91)-1)/9,""),"")</f>
        <v>45.5555555555556</v>
      </c>
      <c r="N91" s="10" t="n">
        <f aca="false">IFERROR(IF(ISNUMBER(INDEX(Species!$P$2:$P$300,$R91)),ord_floor+(ord_ceil-ord_floor)*(INDEX(Species!$P$2:$P$300,$R91)-1)/4,""),"")</f>
        <v>50</v>
      </c>
      <c r="O91" s="10" t="n">
        <f aca="false">IFERROR(IF(ISNUMBER(INDEX(onset_ord,MATCH(INDEX(Species!$Q$2:$Q$300,$R91),onset_labels,0))),ord_floor+(ord_ceil-ord_floor)*(IF(onset_dir="mortality",6-INDEX(onset_ord,MATCH(INDEX(Species!$Q$2:$Q$300,$R91),onset_labels,0)),INDEX(onset_ord,MATCH(INDEX(Species!$Q$2:$Q$300,$R91),onset_labels,0)))-1)/4,""),"")</f>
        <v>30</v>
      </c>
      <c r="P91" s="10" t="n">
        <f aca="false">IFERROR(IF(ISNUMBER(INDEX(access_ord,MATCH(INDEX(Species!$R$2:$R$300,$R91),access_labels,0))),ord_floor+(ord_ceil-ord_floor)*(INDEX(access_ord,MATCH(INDEX(Species!$R$2:$R$300,$R91),access_labels,0))-1)/4,""),"")</f>
        <v>10</v>
      </c>
      <c r="Q91" s="5" t="n">
        <f aca="false">ISNUMBER(M91)*(w_enc&gt;0)+ISNUMBER(N91)*(w_bite&gt;0)+ISNUMBER(O91)*(w_onset&gt;0)+ISNUMBER(P91)*(w_access&gt;0)</f>
        <v>4</v>
      </c>
      <c r="R91" s="11" t="n">
        <f aca="false">IFERROR(MATCH($A91,Species!$A$2:$A$300,0),"")</f>
        <v>67</v>
      </c>
    </row>
    <row r="92" customFormat="false" ht="14.25" hidden="false" customHeight="true" outlineLevel="0" collapsed="false">
      <c r="A92" s="4" t="s">
        <v>108</v>
      </c>
      <c r="B92" s="5" t="str">
        <f aca="false">IFERROR(INDEX(Species!$B$2:$B$300,$R92),"NOT IN SPECIES")</f>
        <v>Western brown snake</v>
      </c>
      <c r="C92" s="6" t="n">
        <f aca="false">IF(w_pot+w_qty&lt;=0,"",IF(AND(OR(w_pot=0,ISNUMBER(K92)),OR(w_qty=0,ISNUMBER(L92))),(w_pot*N(K92)+w_qty*N(L92))/(w_pot*ISNUMBER(K92)+w_qty*ISNUMBER(L92)),IF(ISNUMBER(K92),"needs yield","needs LD50")))</f>
        <v>53.2945235677632</v>
      </c>
      <c r="D92" s="7" t="n">
        <f aca="false">IF(ISNUMBER(C92),RANK(C92,$C$2:$C$300),"")</f>
        <v>54</v>
      </c>
      <c r="E92" s="6" t="n">
        <f aca="false">IF(w_enc+w_bite+w_onset+w_access&lt;=0,"",IF(Q92&lt;min_dims,"insufficient data",(w_enc*N(M92)+w_bite*N(N92)+w_onset*N(O92)+w_access*N(P92))/(w_enc*ISNUMBER(M92)+w_bite*ISNUMBER(N92)+w_onset*ISNUMBER(O92)+w_access*ISNUMBER(P92))))</f>
        <v>37.5213675213675</v>
      </c>
      <c r="F92" s="7" t="n">
        <f aca="false">IF(ISNUMBER(E92),RANK(E92,$E$2:$E$300),"")</f>
        <v>63</v>
      </c>
      <c r="G92" s="8" t="str">
        <f aca="false">IFERROR(IF(OR(INDEX(Species!$I$2:$I$300,$R92)="",INDEX(Species!$M$2:$M$300,$R92)=""),"",CHAR(MAX(CODE(INDEX(Species!$I$2:$I$300,$R92)),CODE(INDEX(Species!$M$2:$M$300,$R92))))),"")</f>
        <v>C</v>
      </c>
      <c r="H92" s="9" t="str">
        <f aca="false">IFERROR(MID(IF(AND(ISNUMBER(INDEX(Species!$J$2:$J$300,$R92)),N(INDEX(Species!$J$2:$J$300,$R92))&gt;1.5),"; LD50 sources differ "&amp;TEXT(INDEX(Species!$J$2:$J$300,$R92),"0.0")&amp;"x","")&amp;IF(AND(INDEX(Species!$H$2:$H$300,$R92)&lt;&gt;"",INDEX(Species!$H$2:$H$300,$R92)&lt;&gt;"SC"),"; LD50 route "&amp;INDEX(Species!$H$2:$H$300,$R92),"")&amp;IF(INDEX(Species!$I$2:$I$300,$R92)="D","; LD50 Tier D","")&amp;IF(AND(ISNUMBER(INDEX(Species!$N$2:$N$300,$R92)),N(INDEX(Species!$N$2:$N$300,$R92))&gt;1.5),"; yield sources differ "&amp;TEXT(INDEX(Species!$N$2:$N$300,$R92),"0.0")&amp;"x","")&amp;IF(INDEX(Species!$M$2:$M$300,$R92)="D","; yield Tier D",""),3,300),"")</f>
        <v/>
      </c>
      <c r="I92" s="5" t="str">
        <f aca="false">IFERROR(INDEX(Species!$S$2:$S$300,$R92)&amp;"","")</f>
        <v/>
      </c>
      <c r="J92" s="5" t="str">
        <f aca="false">IFERROR(INDEX(Species!$T$2:$T$300,$R92)&amp;"","")</f>
        <v/>
      </c>
      <c r="K92" s="10" t="n">
        <f aca="false">IFERROR(MEDIAN(0,100*(LOG10(ld_least)-LOG10(INDEX(Species!$G$2:$G$300,$R92)))/(LOG10(ld_least)-LOG10(ld_most)),100),"")</f>
        <v>54.2800674665002</v>
      </c>
      <c r="L92" s="10" t="n">
        <f aca="false">IFERROR(MEDIAN(0,100*(LOG10(INDEX(Species!$L$2:$L$300,$R92))-LOG10(y_min))/(LOG10(y_max)-LOG10(y_min)),100),"")</f>
        <v>52.3089796690262</v>
      </c>
      <c r="M92" s="10" t="n">
        <f aca="false">IFERROR(IF(ISNUMBER(INDEX(Species!$O$2:$O$300,$R92)),ord_floor+(ord_ceil-ord_floor)*(INDEX(Species!$O$2:$O$300,$R92)-1)/9,""),"")</f>
        <v>45.5555555555556</v>
      </c>
      <c r="N92" s="10" t="n">
        <f aca="false">IFERROR(IF(ISNUMBER(INDEX(Species!$P$2:$P$300,$R92)),ord_floor+(ord_ceil-ord_floor)*(INDEX(Species!$P$2:$P$300,$R92)-1)/4,""),"")</f>
        <v>50</v>
      </c>
      <c r="O92" s="10" t="n">
        <f aca="false">IFERROR(IF(ISNUMBER(INDEX(onset_ord,MATCH(INDEX(Species!$Q$2:$Q$300,$R92),onset_labels,0))),ord_floor+(ord_ceil-ord_floor)*(IF(onset_dir="mortality",6-INDEX(onset_ord,MATCH(INDEX(Species!$Q$2:$Q$300,$R92),onset_labels,0)),INDEX(onset_ord,MATCH(INDEX(Species!$Q$2:$Q$300,$R92),onset_labels,0)))-1)/4,""),"")</f>
        <v>30</v>
      </c>
      <c r="P92" s="10" t="n">
        <f aca="false">IFERROR(IF(ISNUMBER(INDEX(access_ord,MATCH(INDEX(Species!$R$2:$R$300,$R92),access_labels,0))),ord_floor+(ord_ceil-ord_floor)*(INDEX(access_ord,MATCH(INDEX(Species!$R$2:$R$300,$R92),access_labels,0))-1)/4,""),"")</f>
        <v>10</v>
      </c>
      <c r="Q92" s="5" t="n">
        <f aca="false">ISNUMBER(M92)*(w_enc&gt;0)+ISNUMBER(N92)*(w_bite&gt;0)+ISNUMBER(O92)*(w_onset&gt;0)+ISNUMBER(P92)*(w_access&gt;0)</f>
        <v>4</v>
      </c>
      <c r="R92" s="11" t="n">
        <f aca="false">IFERROR(MATCH($A92,Species!$A$2:$A$300,0),"")</f>
        <v>68</v>
      </c>
    </row>
    <row r="93" customFormat="false" ht="14.25" hidden="false" customHeight="true" outlineLevel="0" collapsed="false">
      <c r="A93" s="4" t="s">
        <v>109</v>
      </c>
      <c r="B93" s="5" t="str">
        <f aca="false">IFERROR(INDEX(Species!$B$2:$B$300,$R93),"NOT IN SPECIES")</f>
        <v>African birdsnake</v>
      </c>
      <c r="C93" s="6" t="str">
        <f aca="false">IF(w_pot+w_qty&lt;=0,"",IF(AND(OR(w_pot=0,ISNUMBER(K93)),OR(w_qty=0,ISNUMBER(L93))),(w_pot*N(K93)+w_qty*N(L93))/(w_pot*ISNUMBER(K93)+w_qty*ISNUMBER(L93)),IF(ISNUMBER(K93),"needs yield","needs LD50")))</f>
        <v>needs yield</v>
      </c>
      <c r="D93" s="7" t="str">
        <f aca="false">IF(ISNUMBER(C93),RANK(C93,$C$2:$C$300),"")</f>
        <v/>
      </c>
      <c r="E93" s="6" t="n">
        <f aca="false">IF(w_enc+w_bite+w_onset+w_access&lt;=0,"",IF(Q93&lt;min_dims,"insufficient data",(w_enc*N(M93)+w_bite*N(N93)+w_onset*N(O93)+w_access*N(P93))/(w_enc*ISNUMBER(M93)+w_bite*ISNUMBER(N93)+w_onset*ISNUMBER(O93)+w_access*ISNUMBER(P93))))</f>
        <v>47.6068376068376</v>
      </c>
      <c r="F93" s="7" t="n">
        <f aca="false">IF(ISNUMBER(E93),RANK(E93,$E$2:$E$300),"")</f>
        <v>30</v>
      </c>
      <c r="G93" s="8" t="str">
        <f aca="false">IFERROR(IF(OR(INDEX(Species!$I$2:$I$300,$R93)="",INDEX(Species!$M$2:$M$300,$R93)=""),"",CHAR(MAX(CODE(INDEX(Species!$I$2:$I$300,$R93)),CODE(INDEX(Species!$M$2:$M$300,$R93))))),"")</f>
        <v/>
      </c>
      <c r="H93" s="9" t="str">
        <f aca="false">IFERROR(MID(IF(AND(ISNUMBER(INDEX(Species!$J$2:$J$300,$R93)),N(INDEX(Species!$J$2:$J$300,$R93))&gt;1.5),"; LD50 sources differ "&amp;TEXT(INDEX(Species!$J$2:$J$300,$R93),"0.0")&amp;"x","")&amp;IF(AND(INDEX(Species!$H$2:$H$300,$R93)&lt;&gt;"",INDEX(Species!$H$2:$H$300,$R93)&lt;&gt;"SC"),"; LD50 route "&amp;INDEX(Species!$H$2:$H$300,$R93),"")&amp;IF(INDEX(Species!$I$2:$I$300,$R93)="D","; LD50 Tier D","")&amp;IF(AND(ISNUMBER(INDEX(Species!$N$2:$N$300,$R93)),N(INDEX(Species!$N$2:$N$300,$R93))&gt;1.5),"; yield sources differ "&amp;TEXT(INDEX(Species!$N$2:$N$300,$R93),"0.0")&amp;"x","")&amp;IF(INDEX(Species!$M$2:$M$300,$R93)="D","; yield Tier D",""),3,300),"")</f>
        <v/>
      </c>
      <c r="I93" s="5" t="str">
        <f aca="false">IFERROR(INDEX(Species!$S$2:$S$300,$R93)&amp;"","")</f>
        <v/>
      </c>
      <c r="J93" s="5" t="str">
        <f aca="false">IFERROR(INDEX(Species!$T$2:$T$300,$R93)&amp;"","")</f>
        <v/>
      </c>
      <c r="K93" s="10" t="n">
        <f aca="false">IFERROR(MEDIAN(0,100*(LOG10(ld_least)-LOG10(INDEX(Species!$G$2:$G$300,$R93)))/(LOG10(ld_least)-LOG10(ld_most)),100),"")</f>
        <v>69.0950532480826</v>
      </c>
      <c r="L93" s="10" t="str">
        <f aca="false">IFERROR(MEDIAN(0,100*(LOG10(INDEX(Species!$L$2:$L$300,$R93))-LOG10(y_min))/(LOG10(y_max)-LOG10(y_min)),100),"")</f>
        <v/>
      </c>
      <c r="M93" s="10" t="n">
        <f aca="false">IFERROR(IF(ISNUMBER(INDEX(Species!$O$2:$O$300,$R93)),ord_floor+(ord_ceil-ord_floor)*(INDEX(Species!$O$2:$O$300,$R93)-1)/9,""),"")</f>
        <v>27.7777777777778</v>
      </c>
      <c r="N93" s="10" t="n">
        <f aca="false">IFERROR(IF(ISNUMBER(INDEX(Species!$P$2:$P$300,$R93)),ord_floor+(ord_ceil-ord_floor)*(INDEX(Species!$P$2:$P$300,$R93)-1)/4,""),"")</f>
        <v>10</v>
      </c>
      <c r="O93" s="10" t="n">
        <f aca="false">IFERROR(IF(ISNUMBER(INDEX(onset_ord,MATCH(INDEX(Species!$Q$2:$Q$300,$R93),onset_labels,0))),ord_floor+(ord_ceil-ord_floor)*(IF(onset_dir="mortality",6-INDEX(onset_ord,MATCH(INDEX(Species!$Q$2:$Q$300,$R93),onset_labels,0)),INDEX(onset_ord,MATCH(INDEX(Species!$Q$2:$Q$300,$R93),onset_labels,0)))-1)/4,""),"")</f>
        <v>90</v>
      </c>
      <c r="P93" s="10" t="n">
        <f aca="false">IFERROR(IF(ISNUMBER(INDEX(access_ord,MATCH(INDEX(Species!$R$2:$R$300,$R93),access_labels,0))),ord_floor+(ord_ceil-ord_floor)*(INDEX(access_ord,MATCH(INDEX(Species!$R$2:$R$300,$R93),access_labels,0))-1)/4,""),"")</f>
        <v>90</v>
      </c>
      <c r="Q93" s="5" t="n">
        <f aca="false">ISNUMBER(M93)*(w_enc&gt;0)+ISNUMBER(N93)*(w_bite&gt;0)+ISNUMBER(O93)*(w_onset&gt;0)+ISNUMBER(P93)*(w_access&gt;0)</f>
        <v>4</v>
      </c>
      <c r="R93" s="11" t="n">
        <f aca="false">IFERROR(MATCH($A93,Species!$A$2:$A$300,0),"")</f>
        <v>83</v>
      </c>
    </row>
    <row r="94" customFormat="false" ht="14.25" hidden="false" customHeight="true" outlineLevel="0" collapsed="false">
      <c r="A94" s="4" t="s">
        <v>110</v>
      </c>
      <c r="B94" s="5" t="str">
        <f aca="false">IFERROR(INDEX(Species!$B$2:$B$300,$R94),"NOT IN SPECIES")</f>
        <v>Rough-scaled snake</v>
      </c>
      <c r="C94" s="6" t="str">
        <f aca="false">IF(w_pot+w_qty&lt;=0,"",IF(AND(OR(w_pot=0,ISNUMBER(K94)),OR(w_qty=0,ISNUMBER(L94))),(w_pot*N(K94)+w_qty*N(L94))/(w_pot*ISNUMBER(K94)+w_qty*ISNUMBER(L94)),IF(ISNUMBER(K94),"needs yield","needs LD50")))</f>
        <v>needs yield</v>
      </c>
      <c r="D94" s="7" t="str">
        <f aca="false">IF(ISNUMBER(C94),RANK(C94,$C$2:$C$300),"")</f>
        <v/>
      </c>
      <c r="E94" s="6" t="n">
        <f aca="false">IF(w_enc+w_bite+w_onset+w_access&lt;=0,"",IF(Q94&lt;min_dims,"insufficient data",(w_enc*N(M94)+w_bite*N(N94)+w_onset*N(O94)+w_access*N(P94))/(w_enc*ISNUMBER(M94)+w_bite*ISNUMBER(N94)+w_onset*ISNUMBER(O94)+w_access*ISNUMBER(P94))))</f>
        <v>43.3333333333333</v>
      </c>
      <c r="F94" s="7" t="n">
        <f aca="false">IF(ISNUMBER(E94),RANK(E94,$E$2:$E$300),"")</f>
        <v>44</v>
      </c>
      <c r="G94" s="8" t="str">
        <f aca="false">IFERROR(IF(OR(INDEX(Species!$I$2:$I$300,$R94)="",INDEX(Species!$M$2:$M$300,$R94)=""),"",CHAR(MAX(CODE(INDEX(Species!$I$2:$I$300,$R94)),CODE(INDEX(Species!$M$2:$M$300,$R94))))),"")</f>
        <v/>
      </c>
      <c r="H94" s="9" t="str">
        <f aca="false">IFERROR(MID(IF(AND(ISNUMBER(INDEX(Species!$J$2:$J$300,$R94)),N(INDEX(Species!$J$2:$J$300,$R94))&gt;1.5),"; LD50 sources differ "&amp;TEXT(INDEX(Species!$J$2:$J$300,$R94),"0.0")&amp;"x","")&amp;IF(AND(INDEX(Species!$H$2:$H$300,$R94)&lt;&gt;"",INDEX(Species!$H$2:$H$300,$R94)&lt;&gt;"SC"),"; LD50 route "&amp;INDEX(Species!$H$2:$H$300,$R94),"")&amp;IF(INDEX(Species!$I$2:$I$300,$R94)="D","; LD50 Tier D","")&amp;IF(AND(ISNUMBER(INDEX(Species!$N$2:$N$300,$R94)),N(INDEX(Species!$N$2:$N$300,$R94))&gt;1.5),"; yield sources differ "&amp;TEXT(INDEX(Species!$N$2:$N$300,$R94),"0.0")&amp;"x","")&amp;IF(INDEX(Species!$M$2:$M$300,$R94)="D","; yield Tier D",""),3,300),"")</f>
        <v/>
      </c>
      <c r="I94" s="5" t="str">
        <f aca="false">IFERROR(INDEX(Species!$S$2:$S$300,$R94)&amp;"","")</f>
        <v/>
      </c>
      <c r="J94" s="5" t="str">
        <f aca="false">IFERROR(INDEX(Species!$T$2:$T$300,$R94)&amp;"","")</f>
        <v/>
      </c>
      <c r="K94" s="10" t="n">
        <f aca="false">IFERROR(MEDIAN(0,100*(LOG10(ld_least)-LOG10(INDEX(Species!$G$2:$G$300,$R94)))/(LOG10(ld_least)-LOG10(ld_most)),100),"")</f>
        <v>35.0103617216889</v>
      </c>
      <c r="L94" s="10" t="str">
        <f aca="false">IFERROR(MEDIAN(0,100*(LOG10(INDEX(Species!$L$2:$L$300,$R94))-LOG10(y_min))/(LOG10(y_max)-LOG10(y_min)),100),"")</f>
        <v/>
      </c>
      <c r="M94" s="10" t="n">
        <f aca="false">IFERROR(IF(ISNUMBER(INDEX(Species!$O$2:$O$300,$R94)),ord_floor+(ord_ceil-ord_floor)*(INDEX(Species!$O$2:$O$300,$R94)-1)/9,""),"")</f>
        <v>36.6666666666667</v>
      </c>
      <c r="N94" s="10" t="n">
        <f aca="false">IFERROR(IF(ISNUMBER(INDEX(Species!$P$2:$P$300,$R94)),ord_floor+(ord_ceil-ord_floor)*(INDEX(Species!$P$2:$P$300,$R94)-1)/4,""),"")</f>
        <v>90</v>
      </c>
      <c r="O94" s="10" t="n">
        <f aca="false">IFERROR(IF(ISNUMBER(INDEX(onset_ord,MATCH(INDEX(Species!$Q$2:$Q$300,$R94),onset_labels,0))),ord_floor+(ord_ceil-ord_floor)*(IF(onset_dir="mortality",6-INDEX(onset_ord,MATCH(INDEX(Species!$Q$2:$Q$300,$R94),onset_labels,0)),INDEX(onset_ord,MATCH(INDEX(Species!$Q$2:$Q$300,$R94),onset_labels,0)))-1)/4,""),"")</f>
        <v>30</v>
      </c>
      <c r="P94" s="10" t="n">
        <f aca="false">IFERROR(IF(ISNUMBER(INDEX(access_ord,MATCH(INDEX(Species!$R$2:$R$300,$R94),access_labels,0))),ord_floor+(ord_ceil-ord_floor)*(INDEX(access_ord,MATCH(INDEX(Species!$R$2:$R$300,$R94),access_labels,0))-1)/4,""),"")</f>
        <v>10</v>
      </c>
      <c r="Q94" s="5" t="n">
        <f aca="false">ISNUMBER(M94)*(w_enc&gt;0)+ISNUMBER(N94)*(w_bite&gt;0)+ISNUMBER(O94)*(w_onset&gt;0)+ISNUMBER(P94)*(w_access&gt;0)</f>
        <v>4</v>
      </c>
      <c r="R94" s="11" t="n">
        <f aca="false">IFERROR(MATCH($A94,Species!$A$2:$A$300,0),"")</f>
        <v>92</v>
      </c>
    </row>
    <row r="95" customFormat="false" ht="14.25" hidden="false" customHeight="true" outlineLevel="0" collapsed="false">
      <c r="A95" s="4" t="s">
        <v>111</v>
      </c>
      <c r="B95" s="5" t="str">
        <f aca="false">IFERROR(INDEX(Species!$B$2:$B$300,$R95),"NOT IN SPECIES")</f>
        <v>Nose-horned viper</v>
      </c>
      <c r="C95" s="6" t="n">
        <f aca="false">IF(w_pot+w_qty&lt;=0,"",IF(AND(OR(w_pot=0,ISNUMBER(K95)),OR(w_qty=0,ISNUMBER(L95))),(w_pot*N(K95)+w_qty*N(L95))/(w_pot*ISNUMBER(K95)+w_qty*ISNUMBER(L95)),IF(ISNUMBER(K95),"needs yield","needs LD50")))</f>
        <v>55.2835757800301</v>
      </c>
      <c r="D95" s="7" t="n">
        <f aca="false">IF(ISNUMBER(C95),RANK(C95,$C$2:$C$300),"")</f>
        <v>49</v>
      </c>
      <c r="E95" s="6" t="n">
        <f aca="false">IF(w_enc+w_bite+w_onset+w_access&lt;=0,"",IF(Q95&lt;min_dims,"insufficient data",(w_enc*N(M95)+w_bite*N(N95)+w_onset*N(O95)+w_access*N(P95))/(w_enc*ISNUMBER(M95)+w_bite*ISNUMBER(N95)+w_onset*ISNUMBER(O95)+w_access*ISNUMBER(P95))))</f>
        <v>54.7863247863248</v>
      </c>
      <c r="F95" s="7" t="n">
        <f aca="false">IF(ISNUMBER(E95),RANK(E95,$E$2:$E$300),"")</f>
        <v>16</v>
      </c>
      <c r="G95" s="8" t="str">
        <f aca="false">IFERROR(IF(OR(INDEX(Species!$I$2:$I$300,$R95)="",INDEX(Species!$M$2:$M$300,$R95)=""),"",CHAR(MAX(CODE(INDEX(Species!$I$2:$I$300,$R95)),CODE(INDEX(Species!$M$2:$M$300,$R95))))),"")</f>
        <v>C</v>
      </c>
      <c r="H95" s="9" t="str">
        <f aca="false">IFERROR(MID(IF(AND(ISNUMBER(INDEX(Species!$J$2:$J$300,$R95)),N(INDEX(Species!$J$2:$J$300,$R95))&gt;1.5),"; LD50 sources differ "&amp;TEXT(INDEX(Species!$J$2:$J$300,$R95),"0.0")&amp;"x","")&amp;IF(AND(INDEX(Species!$H$2:$H$300,$R95)&lt;&gt;"",INDEX(Species!$H$2:$H$300,$R95)&lt;&gt;"SC"),"; LD50 route "&amp;INDEX(Species!$H$2:$H$300,$R95),"")&amp;IF(INDEX(Species!$I$2:$I$300,$R95)="D","; LD50 Tier D","")&amp;IF(AND(ISNUMBER(INDEX(Species!$N$2:$N$300,$R95)),N(INDEX(Species!$N$2:$N$300,$R95))&gt;1.5),"; yield sources differ "&amp;TEXT(INDEX(Species!$N$2:$N$300,$R95),"0.0")&amp;"x","")&amp;IF(INDEX(Species!$M$2:$M$300,$R95)="D","; yield Tier D",""),3,300),"")</f>
        <v/>
      </c>
      <c r="I95" s="5" t="str">
        <f aca="false">IFERROR(INDEX(Species!$S$2:$S$300,$R95)&amp;"","")</f>
        <v/>
      </c>
      <c r="J95" s="5" t="str">
        <f aca="false">IFERROR(INDEX(Species!$T$2:$T$300,$R95)&amp;"","")</f>
        <v/>
      </c>
      <c r="K95" s="10" t="n">
        <f aca="false">IFERROR(MEDIAN(0,100*(LOG10(ld_least)-LOG10(INDEX(Species!$G$2:$G$300,$R95)))/(LOG10(ld_least)-LOG10(ld_most)),100),"")</f>
        <v>54.0120305274787</v>
      </c>
      <c r="L95" s="10" t="n">
        <f aca="false">IFERROR(MEDIAN(0,100*(LOG10(INDEX(Species!$L$2:$L$300,$R95))-LOG10(y_min))/(LOG10(y_max)-LOG10(y_min)),100),"")</f>
        <v>56.5551210325815</v>
      </c>
      <c r="M95" s="10" t="n">
        <f aca="false">IFERROR(IF(ISNUMBER(INDEX(Species!$O$2:$O$300,$R95)),ord_floor+(ord_ceil-ord_floor)*(INDEX(Species!$O$2:$O$300,$R95)-1)/9,""),"")</f>
        <v>54.4444444444444</v>
      </c>
      <c r="N95" s="10" t="n">
        <f aca="false">IFERROR(IF(ISNUMBER(INDEX(Species!$P$2:$P$300,$R95)),ord_floor+(ord_ceil-ord_floor)*(INDEX(Species!$P$2:$P$300,$R95)-1)/4,""),"")</f>
        <v>50</v>
      </c>
      <c r="O95" s="10" t="n">
        <f aca="false">IFERROR(IF(ISNUMBER(INDEX(onset_ord,MATCH(INDEX(Species!$Q$2:$Q$300,$R95),onset_labels,0))),ord_floor+(ord_ceil-ord_floor)*(IF(onset_dir="mortality",6-INDEX(onset_ord,MATCH(INDEX(Species!$Q$2:$Q$300,$R95),onset_labels,0)),INDEX(onset_ord,MATCH(INDEX(Species!$Q$2:$Q$300,$R95),onset_labels,0)))-1)/4,""),"")</f>
        <v>90</v>
      </c>
      <c r="P95" s="10" t="n">
        <f aca="false">IFERROR(IF(ISNUMBER(INDEX(access_ord,MATCH(INDEX(Species!$R$2:$R$300,$R95),access_labels,0))),ord_floor+(ord_ceil-ord_floor)*(INDEX(access_ord,MATCH(INDEX(Species!$R$2:$R$300,$R95),access_labels,0))-1)/4,""),"")</f>
        <v>10</v>
      </c>
      <c r="Q95" s="5" t="n">
        <f aca="false">ISNUMBER(M95)*(w_enc&gt;0)+ISNUMBER(N95)*(w_bite&gt;0)+ISNUMBER(O95)*(w_onset&gt;0)+ISNUMBER(P95)*(w_access&gt;0)</f>
        <v>4</v>
      </c>
      <c r="R95" s="11" t="n">
        <f aca="false">IFERROR(MATCH($A95,Species!$A$2:$A$300,0),"")</f>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D1" activeCellId="0" sqref="D1"/>
    </sheetView>
  </sheetViews>
  <sheetFormatPr defaultColWidth="8.66796875" defaultRowHeight="14.25" zeroHeight="false" outlineLevelRow="0" outlineLevelCol="0"/>
  <cols>
    <col collapsed="false" customWidth="true" hidden="false" outlineLevel="0" max="1" min="1" style="0" width="26"/>
    <col collapsed="false" customWidth="true" hidden="false" outlineLevel="0" max="2" min="2" style="0" width="24"/>
    <col collapsed="false" customWidth="true" hidden="false" outlineLevel="0" max="3" min="3" style="0" width="30"/>
    <col collapsed="false" customWidth="true" hidden="false" outlineLevel="0" max="12" min="4" style="0" width="11"/>
    <col collapsed="false" customWidth="true" hidden="false" outlineLevel="0" max="15" min="13" style="0" width="9"/>
  </cols>
  <sheetData>
    <row r="1" customFormat="false" ht="42" hidden="false" customHeight="true" outlineLevel="0" collapsed="false">
      <c r="A1" s="1" t="s">
        <v>0</v>
      </c>
      <c r="B1" s="1" t="s">
        <v>1</v>
      </c>
      <c r="C1" s="1" t="s">
        <v>112</v>
      </c>
      <c r="D1" s="2" t="s">
        <v>113</v>
      </c>
      <c r="E1" s="2" t="s">
        <v>114</v>
      </c>
      <c r="F1" s="3" t="s">
        <v>2</v>
      </c>
      <c r="G1" s="2" t="s">
        <v>115</v>
      </c>
      <c r="H1" s="2" t="s">
        <v>116</v>
      </c>
      <c r="I1" s="2" t="s">
        <v>117</v>
      </c>
      <c r="J1" s="2" t="s">
        <v>118</v>
      </c>
      <c r="K1" s="3" t="s">
        <v>4</v>
      </c>
      <c r="L1" s="3" t="s">
        <v>119</v>
      </c>
      <c r="M1" s="1" t="s">
        <v>120</v>
      </c>
      <c r="N1" s="12" t="s">
        <v>121</v>
      </c>
      <c r="O1" s="12" t="s">
        <v>17</v>
      </c>
    </row>
    <row r="2" customFormat="false" ht="15" hidden="false" customHeight="true" outlineLevel="0" collapsed="false">
      <c r="A2" s="13" t="s">
        <v>18</v>
      </c>
      <c r="B2" s="13" t="str">
        <f aca="false">IFERROR(INDEX(Species!$B$2:$B$300,$O2),"NOT IN SPECIES")</f>
        <v>Russell's viper</v>
      </c>
      <c r="C2" s="13" t="str">
        <f aca="false">IFERROR(INDEX(Species!$C$2:$C$300,$O2)&amp;"","")</f>
        <v>Chain viper; Daboia</v>
      </c>
      <c r="D2" s="14" t="n">
        <f aca="false">IFERROR(INDEX(Species!$G$2:$G$300,$O2),"")</f>
        <v>0.03</v>
      </c>
      <c r="E2" s="15" t="n">
        <f aca="false">IFERROR(INDEX(Species!$L$2:$L$300,$O2),"")</f>
        <v>250</v>
      </c>
      <c r="F2" s="16" t="n">
        <f aca="false">IFERROR(INDEX(Scores!$C$2:$C$300,$N2),"")</f>
        <v>89.9245425579098</v>
      </c>
      <c r="G2" s="17" t="n">
        <f aca="false">IFERROR(INDEX(Scores!$M$2:$M$300,$N2),"")</f>
        <v>90</v>
      </c>
      <c r="H2" s="17" t="n">
        <f aca="false">IFERROR(INDEX(Scores!$N$2:$N$300,$N2),"")</f>
        <v>90</v>
      </c>
      <c r="I2" s="17" t="n">
        <f aca="false">IFERROR(INDEX(Scores!$O$2:$O$300,$N2),"")</f>
        <v>70</v>
      </c>
      <c r="J2" s="17" t="n">
        <f aca="false">IFERROR(INDEX(Scores!$P$2:$P$300,$N2),"")</f>
        <v>10</v>
      </c>
      <c r="K2" s="16" t="n">
        <f aca="false">IFERROR(INDEX(Scores!$E$2:$E$300,$N2),"")</f>
        <v>73.0769230769231</v>
      </c>
      <c r="L2" s="16" t="n">
        <f aca="false">IF(w_haz+w_risk&lt;=0,"",IF(AND(OR(w_haz=0,ISNUMBER(F2)),OR(w_risk=0,ISNUMBER(K2))),(w_haz*N(F2)+w_risk*N(K2))/(w_haz*ISNUMBER(F2)+w_risk*ISNUMBER(K2)),IF(ISNUMBER(F2),"needs Human Risk",IF(ISNUMBER(K2),"needs Venom Hazard","needs both"))))</f>
        <v>81.5007328174164</v>
      </c>
      <c r="M2" s="13" t="n">
        <f aca="false">IF(ISNUMBER(L2),RANK(L2,$L$2:$L$300),"")</f>
        <v>1</v>
      </c>
      <c r="N2" s="18" t="n">
        <f aca="false">IFERROR(MATCH($A2,Scores!$A$2:$A$300,0),"")</f>
        <v>1</v>
      </c>
      <c r="O2" s="18" t="n">
        <f aca="false">IFERROR(MATCH($A2,Species!$A$2:$A$300,0),"")</f>
        <v>1</v>
      </c>
    </row>
    <row r="3" customFormat="false" ht="15" hidden="false" customHeight="true" outlineLevel="0" collapsed="false">
      <c r="A3" s="13" t="s">
        <v>25</v>
      </c>
      <c r="B3" s="13" t="str">
        <f aca="false">IFERROR(INDEX(Species!$B$2:$B$300,$O3),"NOT IN SPECIES")</f>
        <v>Puff adder</v>
      </c>
      <c r="C3" s="13" t="str">
        <f aca="false">IFERROR(INDEX(Species!$C$2:$C$300,$O3)&amp;"","")</f>
        <v/>
      </c>
      <c r="D3" s="14" t="n">
        <f aca="false">IFERROR(INDEX(Species!$G$2:$G$300,$O3),"")</f>
        <v>0.14</v>
      </c>
      <c r="E3" s="15" t="n">
        <f aca="false">IFERROR(INDEX(Species!$L$2:$L$300,$O3),"")</f>
        <v>350</v>
      </c>
      <c r="F3" s="16" t="n">
        <f aca="false">IFERROR(INDEX(Scores!$C$2:$C$300,$N3),"")</f>
        <v>80.4563247584228</v>
      </c>
      <c r="G3" s="17" t="n">
        <f aca="false">IFERROR(INDEX(Scores!$M$2:$M$300,$N3),"")</f>
        <v>81.1111111111111</v>
      </c>
      <c r="H3" s="17" t="n">
        <f aca="false">IFERROR(INDEX(Scores!$N$2:$N$300,$N3),"")</f>
        <v>70</v>
      </c>
      <c r="I3" s="17" t="n">
        <f aca="false">IFERROR(INDEX(Scores!$O$2:$O$300,$N3),"")</f>
        <v>90</v>
      </c>
      <c r="J3" s="17" t="n">
        <f aca="false">IFERROR(INDEX(Scores!$P$2:$P$300,$N3),"")</f>
        <v>30</v>
      </c>
      <c r="K3" s="16" t="n">
        <f aca="false">IFERROR(INDEX(Scores!$E$2:$E$300,$N3),"")</f>
        <v>72.7350427350427</v>
      </c>
      <c r="L3" s="16" t="n">
        <f aca="false">IF(w_haz+w_risk&lt;=0,"",IF(AND(OR(w_haz=0,ISNUMBER(F3)),OR(w_risk=0,ISNUMBER(K3))),(w_haz*N(F3)+w_risk*N(K3))/(w_haz*ISNUMBER(F3)+w_risk*ISNUMBER(K3)),IF(ISNUMBER(F3),"needs Human Risk",IF(ISNUMBER(K3),"needs Venom Hazard","needs both"))))</f>
        <v>76.5956837467328</v>
      </c>
      <c r="M3" s="13" t="n">
        <f aca="false">IF(ISNUMBER(L3),RANK(L3,$L$2:$L$300),"")</f>
        <v>2</v>
      </c>
      <c r="N3" s="18" t="n">
        <f aca="false">IFERROR(MATCH($A3,Scores!$A$2:$A$300,0),"")</f>
        <v>8</v>
      </c>
      <c r="O3" s="18" t="n">
        <f aca="false">IFERROR(MATCH($A3,Species!$A$2:$A$300,0),"")</f>
        <v>6</v>
      </c>
    </row>
    <row r="4" customFormat="false" ht="15" hidden="false" customHeight="true" outlineLevel="0" collapsed="false">
      <c r="A4" s="13" t="s">
        <v>39</v>
      </c>
      <c r="B4" s="13" t="str">
        <f aca="false">IFERROR(INDEX(Species!$B$2:$B$300,$O4),"NOT IN SPECIES")</f>
        <v>Saw-scaled viper</v>
      </c>
      <c r="C4" s="13" t="str">
        <f aca="false">IFERROR(INDEX(Species!$C$2:$C$300,$O4)&amp;"","")</f>
        <v>Indian saw-scaled viper</v>
      </c>
      <c r="D4" s="14" t="n">
        <f aca="false">IFERROR(INDEX(Species!$G$2:$G$300,$O4),"")</f>
        <v>0.15</v>
      </c>
      <c r="E4" s="15" t="n">
        <f aca="false">IFERROR(INDEX(Species!$L$2:$L$300,$O4),"")</f>
        <v>70</v>
      </c>
      <c r="F4" s="16" t="n">
        <f aca="false">IFERROR(INDEX(Scores!$C$2:$C$300,$N4),"")</f>
        <v>68.8955568819849</v>
      </c>
      <c r="G4" s="17" t="n">
        <f aca="false">IFERROR(INDEX(Scores!$M$2:$M$300,$N4),"")</f>
        <v>90</v>
      </c>
      <c r="H4" s="17" t="n">
        <f aca="false">IFERROR(INDEX(Scores!$N$2:$N$300,$N4),"")</f>
        <v>90</v>
      </c>
      <c r="I4" s="17" t="n">
        <f aca="false">IFERROR(INDEX(Scores!$O$2:$O$300,$N4),"")</f>
        <v>90</v>
      </c>
      <c r="J4" s="17" t="n">
        <f aca="false">IFERROR(INDEX(Scores!$P$2:$P$300,$N4),"")</f>
        <v>10</v>
      </c>
      <c r="K4" s="16" t="n">
        <f aca="false">IFERROR(INDEX(Scores!$E$2:$E$300,$N4),"")</f>
        <v>77.6923076923077</v>
      </c>
      <c r="L4" s="16" t="n">
        <f aca="false">IF(w_haz+w_risk&lt;=0,"",IF(AND(OR(w_haz=0,ISNUMBER(F4)),OR(w_risk=0,ISNUMBER(K4))),(w_haz*N(F4)+w_risk*N(K4))/(w_haz*ISNUMBER(F4)+w_risk*ISNUMBER(K4)),IF(ISNUMBER(F4),"needs Human Risk",IF(ISNUMBER(K4),"needs Venom Hazard","needs both"))))</f>
        <v>73.2939322871463</v>
      </c>
      <c r="M4" s="13" t="n">
        <f aca="false">IF(ISNUMBER(L4),RANK(L4,$L$2:$L$300),"")</f>
        <v>3</v>
      </c>
      <c r="N4" s="18" t="n">
        <f aca="false">IFERROR(MATCH($A4,Scores!$A$2:$A$300,0),"")</f>
        <v>22</v>
      </c>
      <c r="O4" s="18" t="n">
        <f aca="false">IFERROR(MATCH($A4,Species!$A$2:$A$300,0),"")</f>
        <v>19</v>
      </c>
    </row>
    <row r="5" customFormat="false" ht="15" hidden="false" customHeight="true" outlineLevel="0" collapsed="false">
      <c r="A5" s="13" t="s">
        <v>51</v>
      </c>
      <c r="B5" s="13" t="str">
        <f aca="false">IFERROR(INDEX(Species!$B$2:$B$300,$O5),"NOT IN SPECIES")</f>
        <v>Terciopelo</v>
      </c>
      <c r="C5" s="13" t="str">
        <f aca="false">IFERROR(INDEX(Species!$C$2:$C$300,$O5)&amp;"","")</f>
        <v>Fer-de-lance; Barba amarilla</v>
      </c>
      <c r="D5" s="14" t="n">
        <f aca="false">IFERROR(INDEX(Species!$G$2:$G$300,$O5),"")</f>
        <v>1.1</v>
      </c>
      <c r="E5" s="15" t="n">
        <f aca="false">IFERROR(INDEX(Species!$L$2:$L$300,$O5),"")</f>
        <v>310</v>
      </c>
      <c r="F5" s="16" t="n">
        <f aca="false">IFERROR(INDEX(Scores!$C$2:$C$300,$N5),"")</f>
        <v>60.8263658138792</v>
      </c>
      <c r="G5" s="17" t="n">
        <f aca="false">IFERROR(INDEX(Scores!$M$2:$M$300,$N5),"")</f>
        <v>81.1111111111111</v>
      </c>
      <c r="H5" s="17" t="n">
        <f aca="false">IFERROR(INDEX(Scores!$N$2:$N$300,$N5),"")</f>
        <v>90</v>
      </c>
      <c r="I5" s="17" t="n">
        <f aca="false">IFERROR(INDEX(Scores!$O$2:$O$300,$N5),"")</f>
        <v>70</v>
      </c>
      <c r="J5" s="17" t="n">
        <f aca="false">IFERROR(INDEX(Scores!$P$2:$P$300,$N5),"")</f>
        <v>30</v>
      </c>
      <c r="K5" s="16" t="n">
        <f aca="false">IFERROR(INDEX(Scores!$E$2:$E$300,$N5),"")</f>
        <v>72.7350427350427</v>
      </c>
      <c r="L5" s="16" t="n">
        <f aca="false">IF(w_haz+w_risk&lt;=0,"",IF(AND(OR(w_haz=0,ISNUMBER(F5)),OR(w_risk=0,ISNUMBER(K5))),(w_haz*N(F5)+w_risk*N(K5))/(w_haz*ISNUMBER(F5)+w_risk*ISNUMBER(K5)),IF(ISNUMBER(F5),"needs Human Risk",IF(ISNUMBER(K5),"needs Venom Hazard","needs both"))))</f>
        <v>66.7807042744609</v>
      </c>
      <c r="M5" s="13" t="n">
        <f aca="false">IF(ISNUMBER(L5),RANK(L5,$L$2:$L$300),"")</f>
        <v>5</v>
      </c>
      <c r="N5" s="18" t="n">
        <f aca="false">IFERROR(MATCH($A5,Scores!$A$2:$A$300,0),"")</f>
        <v>34</v>
      </c>
      <c r="O5" s="18" t="n">
        <f aca="false">IFERROR(MATCH($A5,Species!$A$2:$A$300,0),"")</f>
        <v>23</v>
      </c>
    </row>
    <row r="6" customFormat="false" ht="15" hidden="false" customHeight="true" outlineLevel="0" collapsed="false">
      <c r="A6" s="13" t="s">
        <v>28</v>
      </c>
      <c r="B6" s="13" t="str">
        <f aca="false">IFERROR(INDEX(Species!$B$2:$B$300,$O6),"NOT IN SPECIES")</f>
        <v>Eastern brown snake</v>
      </c>
      <c r="C6" s="13" t="str">
        <f aca="false">IFERROR(INDEX(Species!$C$2:$C$300,$O6)&amp;"","")</f>
        <v>Common brown snake</v>
      </c>
      <c r="D6" s="14" t="n">
        <f aca="false">IFERROR(INDEX(Species!$G$2:$G$300,$O6),"")</f>
        <v>0.053</v>
      </c>
      <c r="E6" s="15" t="n">
        <f aca="false">IFERROR(INDEX(Species!$L$2:$L$300,$O6),"")</f>
        <v>67</v>
      </c>
      <c r="F6" s="16" t="n">
        <f aca="false">IFERROR(INDEX(Scores!$C$2:$C$300,$N6),"")</f>
        <v>78.0887513882528</v>
      </c>
      <c r="G6" s="17" t="n">
        <f aca="false">IFERROR(INDEX(Scores!$M$2:$M$300,$N6),"")</f>
        <v>81.1111111111111</v>
      </c>
      <c r="H6" s="17" t="n">
        <f aca="false">IFERROR(INDEX(Scores!$N$2:$N$300,$N6),"")</f>
        <v>90</v>
      </c>
      <c r="I6" s="17" t="n">
        <f aca="false">IFERROR(INDEX(Scores!$O$2:$O$300,$N6),"")</f>
        <v>10</v>
      </c>
      <c r="J6" s="17" t="n">
        <f aca="false">IFERROR(INDEX(Scores!$P$2:$P$300,$N6),"")</f>
        <v>10</v>
      </c>
      <c r="K6" s="16" t="n">
        <f aca="false">IFERROR(INDEX(Scores!$E$2:$E$300,$N6),"")</f>
        <v>55.8119658119658</v>
      </c>
      <c r="L6" s="16" t="n">
        <f aca="false">IF(w_haz+w_risk&lt;=0,"",IF(AND(OR(w_haz=0,ISNUMBER(F6)),OR(w_risk=0,ISNUMBER(K6))),(w_haz*N(F6)+w_risk*N(K6))/(w_haz*ISNUMBER(F6)+w_risk*ISNUMBER(K6)),IF(ISNUMBER(F6),"needs Human Risk",IF(ISNUMBER(K6),"needs Venom Hazard","needs both"))))</f>
        <v>66.9503586001093</v>
      </c>
      <c r="M6" s="13" t="n">
        <f aca="false">IF(ISNUMBER(L6),RANK(L6,$L$2:$L$300),"")</f>
        <v>4</v>
      </c>
      <c r="N6" s="18" t="n">
        <f aca="false">IFERROR(MATCH($A6,Scores!$A$2:$A$300,0),"")</f>
        <v>11</v>
      </c>
      <c r="O6" s="18" t="n">
        <f aca="false">IFERROR(MATCH($A6,Species!$A$2:$A$300,0),"")</f>
        <v>10</v>
      </c>
    </row>
    <row r="7" customFormat="false" ht="15" hidden="false" customHeight="true" outlineLevel="0" collapsed="false">
      <c r="A7" s="13" t="s">
        <v>40</v>
      </c>
      <c r="B7" s="13" t="str">
        <f aca="false">IFERROR(INDEX(Species!$B$2:$B$300,$O7),"NOT IN SPECIES")</f>
        <v>Common lancehead</v>
      </c>
      <c r="C7" s="13" t="str">
        <f aca="false">IFERROR(INDEX(Species!$C$2:$C$300,$O7)&amp;"","")</f>
        <v>Fer-de-lance; Barba amarilla</v>
      </c>
      <c r="D7" s="14" t="n">
        <f aca="false">IFERROR(INDEX(Species!$G$2:$G$300,$O7),"")</f>
        <v>0.35</v>
      </c>
      <c r="E7" s="15" t="n">
        <f aca="false">IFERROR(INDEX(Species!$L$2:$L$300,$O7),"")</f>
        <v>200</v>
      </c>
      <c r="F7" s="16" t="n">
        <f aca="false">IFERROR(INDEX(Scores!$C$2:$C$300,$N7),"")</f>
        <v>68.2963780890936</v>
      </c>
      <c r="G7" s="17" t="n">
        <f aca="false">IFERROR(INDEX(Scores!$M$2:$M$300,$N7),"")</f>
        <v>72.2222222222222</v>
      </c>
      <c r="H7" s="17" t="n">
        <f aca="false">IFERROR(INDEX(Scores!$N$2:$N$300,$N7),"")</f>
        <v>70</v>
      </c>
      <c r="I7" s="17" t="n">
        <f aca="false">IFERROR(INDEX(Scores!$O$2:$O$300,$N7),"")</f>
        <v>70</v>
      </c>
      <c r="J7" s="17" t="n">
        <f aca="false">IFERROR(INDEX(Scores!$P$2:$P$300,$N7),"")</f>
        <v>30</v>
      </c>
      <c r="K7" s="16" t="n">
        <f aca="false">IFERROR(INDEX(Scores!$E$2:$E$300,$N7),"")</f>
        <v>64.7008547008547</v>
      </c>
      <c r="L7" s="16" t="n">
        <f aca="false">IF(w_haz+w_risk&lt;=0,"",IF(AND(OR(w_haz=0,ISNUMBER(F7)),OR(w_risk=0,ISNUMBER(K7))),(w_haz*N(F7)+w_risk*N(K7))/(w_haz*ISNUMBER(F7)+w_risk*ISNUMBER(K7)),IF(ISNUMBER(F7),"needs Human Risk",IF(ISNUMBER(K7),"needs Venom Hazard","needs both"))))</f>
        <v>66.4986163949741</v>
      </c>
      <c r="M7" s="13" t="n">
        <f aca="false">IF(ISNUMBER(L7),RANK(L7,$L$2:$L$300),"")</f>
        <v>6</v>
      </c>
      <c r="N7" s="18" t="n">
        <f aca="false">IFERROR(MATCH($A7,Scores!$A$2:$A$300,0),"")</f>
        <v>23</v>
      </c>
      <c r="O7" s="18" t="n">
        <f aca="false">IFERROR(MATCH($A7,Species!$A$2:$A$300,0),"")</f>
        <v>84</v>
      </c>
    </row>
    <row r="8" customFormat="false" ht="15" hidden="false" customHeight="true" outlineLevel="0" collapsed="false">
      <c r="A8" s="13" t="s">
        <v>26</v>
      </c>
      <c r="B8" s="13" t="str">
        <f aca="false">IFERROR(INDEX(Species!$B$2:$B$300,$O8),"NOT IN SPECIES")</f>
        <v>Monocled cobra</v>
      </c>
      <c r="C8" s="13" t="str">
        <f aca="false">IFERROR(INDEX(Species!$C$2:$C$300,$O8)&amp;"","")</f>
        <v>Monocellate cobra</v>
      </c>
      <c r="D8" s="14" t="n">
        <f aca="false">IFERROR(INDEX(Species!$G$2:$G$300,$O8),"")</f>
        <v>0.225</v>
      </c>
      <c r="E8" s="15" t="n">
        <f aca="false">IFERROR(INDEX(Species!$L$2:$L$300,$O8),"")</f>
        <v>600</v>
      </c>
      <c r="F8" s="16" t="n">
        <f aca="false">IFERROR(INDEX(Scores!$C$2:$C$300,$N8),"")</f>
        <v>79.7888903276726</v>
      </c>
      <c r="G8" s="17" t="n">
        <f aca="false">IFERROR(INDEX(Scores!$M$2:$M$300,$N8),"")</f>
        <v>63.3333333333333</v>
      </c>
      <c r="H8" s="17" t="n">
        <f aca="false">IFERROR(INDEX(Scores!$N$2:$N$300,$N8),"")</f>
        <v>50</v>
      </c>
      <c r="I8" s="17" t="n">
        <f aca="false">IFERROR(INDEX(Scores!$O$2:$O$300,$N8),"")</f>
        <v>30</v>
      </c>
      <c r="J8" s="17" t="n">
        <f aca="false">IFERROR(INDEX(Scores!$P$2:$P$300,$N8),"")</f>
        <v>30</v>
      </c>
      <c r="K8" s="16" t="n">
        <f aca="false">IFERROR(INDEX(Scores!$E$2:$E$300,$N8),"")</f>
        <v>47.4358974358974</v>
      </c>
      <c r="L8" s="16" t="n">
        <f aca="false">IF(w_haz+w_risk&lt;=0,"",IF(AND(OR(w_haz=0,ISNUMBER(F8)),OR(w_risk=0,ISNUMBER(K8))),(w_haz*N(F8)+w_risk*N(K8))/(w_haz*ISNUMBER(F8)+w_risk*ISNUMBER(K8)),IF(ISNUMBER(F8),"needs Human Risk",IF(ISNUMBER(K8),"needs Venom Hazard","needs both"))))</f>
        <v>63.612393881785</v>
      </c>
      <c r="M8" s="13" t="n">
        <f aca="false">IF(ISNUMBER(L8),RANK(L8,$L$2:$L$300),"")</f>
        <v>7</v>
      </c>
      <c r="N8" s="18" t="n">
        <f aca="false">IFERROR(MATCH($A8,Scores!$A$2:$A$300,0),"")</f>
        <v>9</v>
      </c>
      <c r="O8" s="18" t="n">
        <f aca="false">IFERROR(MATCH($A8,Species!$A$2:$A$300,0),"")</f>
        <v>76</v>
      </c>
    </row>
    <row r="9" customFormat="false" ht="15" hidden="false" customHeight="true" outlineLevel="0" collapsed="false">
      <c r="A9" s="13" t="s">
        <v>22</v>
      </c>
      <c r="B9" s="13" t="str">
        <f aca="false">IFERROR(INDEX(Species!$B$2:$B$300,$O9),"NOT IN SPECIES")</f>
        <v>Gaboon viper</v>
      </c>
      <c r="C9" s="13" t="str">
        <f aca="false">IFERROR(INDEX(Species!$C$2:$C$300,$O9)&amp;"","")</f>
        <v>Gaboon adder; Butterfly adder</v>
      </c>
      <c r="D9" s="14" t="n">
        <f aca="false">IFERROR(INDEX(Species!$G$2:$G$300,$O9),"")</f>
        <v>0.14</v>
      </c>
      <c r="E9" s="15" t="n">
        <f aca="false">IFERROR(INDEX(Species!$L$2:$L$300,$O9),"")</f>
        <v>600</v>
      </c>
      <c r="F9" s="16" t="n">
        <f aca="false">IFERROR(INDEX(Scores!$C$2:$C$300,$N9),"")</f>
        <v>84.1172113452588</v>
      </c>
      <c r="G9" s="17" t="n">
        <f aca="false">IFERROR(INDEX(Scores!$M$2:$M$300,$N9),"")</f>
        <v>27.7777777777778</v>
      </c>
      <c r="H9" s="17" t="n">
        <f aca="false">IFERROR(INDEX(Scores!$N$2:$N$300,$N9),"")</f>
        <v>30</v>
      </c>
      <c r="I9" s="17" t="n">
        <f aca="false">IFERROR(INDEX(Scores!$O$2:$O$300,$N9),"")</f>
        <v>90</v>
      </c>
      <c r="J9" s="17" t="n">
        <f aca="false">IFERROR(INDEX(Scores!$P$2:$P$300,$N9),"")</f>
        <v>30</v>
      </c>
      <c r="K9" s="16" t="n">
        <f aca="false">IFERROR(INDEX(Scores!$E$2:$E$300,$N9),"")</f>
        <v>42.991452991453</v>
      </c>
      <c r="L9" s="16" t="n">
        <f aca="false">IF(w_haz+w_risk&lt;=0,"",IF(AND(OR(w_haz=0,ISNUMBER(F9)),OR(w_risk=0,ISNUMBER(K9))),(w_haz*N(F9)+w_risk*N(K9))/(w_haz*ISNUMBER(F9)+w_risk*ISNUMBER(K9)),IF(ISNUMBER(F9),"needs Human Risk",IF(ISNUMBER(K9),"needs Venom Hazard","needs both"))))</f>
        <v>63.5543321683559</v>
      </c>
      <c r="M9" s="13" t="n">
        <f aca="false">IF(ISNUMBER(L9),RANK(L9,$L$2:$L$300),"")</f>
        <v>8</v>
      </c>
      <c r="N9" s="18" t="n">
        <f aca="false">IFERROR(MATCH($A9,Scores!$A$2:$A$300,0),"")</f>
        <v>5</v>
      </c>
      <c r="O9" s="18" t="n">
        <f aca="false">IFERROR(MATCH($A9,Species!$A$2:$A$300,0),"")</f>
        <v>2</v>
      </c>
    </row>
    <row r="10" customFormat="false" ht="15" hidden="false" customHeight="true" outlineLevel="0" collapsed="false">
      <c r="A10" s="13" t="s">
        <v>30</v>
      </c>
      <c r="B10" s="13" t="str">
        <f aca="false">IFERROR(INDEX(Species!$B$2:$B$300,$O10),"NOT IN SPECIES")</f>
        <v>Caspian cobra</v>
      </c>
      <c r="C10" s="13" t="str">
        <f aca="false">IFERROR(INDEX(Species!$C$2:$C$300,$O10)&amp;"","")</f>
        <v>Central Asian cobra; Oxus cobra</v>
      </c>
      <c r="D10" s="14" t="n">
        <f aca="false">IFERROR(INDEX(Species!$G$2:$G$300,$O10),"")</f>
        <v>0.1</v>
      </c>
      <c r="E10" s="15" t="n">
        <f aca="false">IFERROR(INDEX(Species!$L$2:$L$300,$O10),"")</f>
        <v>124</v>
      </c>
      <c r="F10" s="16" t="n">
        <f aca="false">IFERROR(INDEX(Scores!$C$2:$C$300,$N10),"")</f>
        <v>76.4780754961218</v>
      </c>
      <c r="G10" s="17" t="n">
        <f aca="false">IFERROR(INDEX(Scores!$M$2:$M$300,$N10),"")</f>
        <v>63.3333333333333</v>
      </c>
      <c r="H10" s="17" t="n">
        <f aca="false">IFERROR(INDEX(Scores!$N$2:$N$300,$N10),"")</f>
        <v>50</v>
      </c>
      <c r="I10" s="17" t="n">
        <f aca="false">IFERROR(INDEX(Scores!$O$2:$O$300,$N10),"")</f>
        <v>30</v>
      </c>
      <c r="J10" s="17" t="n">
        <f aca="false">IFERROR(INDEX(Scores!$P$2:$P$300,$N10),"")</f>
        <v>50</v>
      </c>
      <c r="K10" s="16" t="n">
        <f aca="false">IFERROR(INDEX(Scores!$E$2:$E$300,$N10),"")</f>
        <v>50.5128205128205</v>
      </c>
      <c r="L10" s="16" t="n">
        <f aca="false">IF(w_haz+w_risk&lt;=0,"",IF(AND(OR(w_haz=0,ISNUMBER(F10)),OR(w_risk=0,ISNUMBER(K10))),(w_haz*N(F10)+w_risk*N(K10))/(w_haz*ISNUMBER(F10)+w_risk*ISNUMBER(K10)),IF(ISNUMBER(F10),"needs Human Risk",IF(ISNUMBER(K10),"needs Venom Hazard","needs both"))))</f>
        <v>63.4954480044712</v>
      </c>
      <c r="M10" s="13" t="n">
        <f aca="false">IF(ISNUMBER(L10),RANK(L10,$L$2:$L$300),"")</f>
        <v>9</v>
      </c>
      <c r="N10" s="18" t="n">
        <f aca="false">IFERROR(MATCH($A10,Scores!$A$2:$A$300,0),"")</f>
        <v>13</v>
      </c>
      <c r="O10" s="18" t="n">
        <f aca="false">IFERROR(MATCH($A10,Species!$A$2:$A$300,0),"")</f>
        <v>11</v>
      </c>
    </row>
    <row r="11" customFormat="false" ht="15" hidden="false" customHeight="true" outlineLevel="0" collapsed="false">
      <c r="A11" s="13" t="s">
        <v>29</v>
      </c>
      <c r="B11" s="13" t="str">
        <f aca="false">IFERROR(INDEX(Species!$B$2:$B$300,$O11),"NOT IN SPECIES")</f>
        <v>Egyptian cobra</v>
      </c>
      <c r="C11" s="13" t="str">
        <f aca="false">IFERROR(INDEX(Species!$C$2:$C$300,$O11)&amp;"","")</f>
        <v>Asp</v>
      </c>
      <c r="D11" s="14" t="n">
        <f aca="false">IFERROR(INDEX(Species!$G$2:$G$300,$O11),"")</f>
        <v>0.19</v>
      </c>
      <c r="E11" s="15" t="n">
        <f aca="false">IFERROR(INDEX(Species!$L$2:$L$300,$O11),"")</f>
        <v>300</v>
      </c>
      <c r="F11" s="16" t="n">
        <f aca="false">IFERROR(INDEX(Scores!$C$2:$C$300,$N11),"")</f>
        <v>76.6234325821819</v>
      </c>
      <c r="G11" s="17" t="n">
        <f aca="false">IFERROR(INDEX(Scores!$M$2:$M$300,$N11),"")</f>
        <v>54.4444444444444</v>
      </c>
      <c r="H11" s="17" t="n">
        <f aca="false">IFERROR(INDEX(Scores!$N$2:$N$300,$N11),"")</f>
        <v>70</v>
      </c>
      <c r="I11" s="17" t="n">
        <f aca="false">IFERROR(INDEX(Scores!$O$2:$O$300,$N11),"")</f>
        <v>30</v>
      </c>
      <c r="J11" s="17" t="n">
        <f aca="false">IFERROR(INDEX(Scores!$P$2:$P$300,$N11),"")</f>
        <v>30</v>
      </c>
      <c r="K11" s="16" t="n">
        <f aca="false">IFERROR(INDEX(Scores!$E$2:$E$300,$N11),"")</f>
        <v>48.6324786324786</v>
      </c>
      <c r="L11" s="16" t="n">
        <f aca="false">IF(w_haz+w_risk&lt;=0,"",IF(AND(OR(w_haz=0,ISNUMBER(F11)),OR(w_risk=0,ISNUMBER(K11))),(w_haz*N(F11)+w_risk*N(K11))/(w_haz*ISNUMBER(F11)+w_risk*ISNUMBER(K11)),IF(ISNUMBER(F11),"needs Human Risk",IF(ISNUMBER(K11),"needs Venom Hazard","needs both"))))</f>
        <v>62.6279556073303</v>
      </c>
      <c r="M11" s="13" t="n">
        <f aca="false">IF(ISNUMBER(L11),RANK(L11,$L$2:$L$300),"")</f>
        <v>10</v>
      </c>
      <c r="N11" s="18" t="n">
        <f aca="false">IFERROR(MATCH($A11,Scores!$A$2:$A$300,0),"")</f>
        <v>12</v>
      </c>
      <c r="O11" s="18" t="n">
        <f aca="false">IFERROR(MATCH($A11,Species!$A$2:$A$300,0),"")</f>
        <v>8</v>
      </c>
    </row>
    <row r="12" customFormat="false" ht="15" hidden="false" customHeight="true" outlineLevel="0" collapsed="false">
      <c r="A12" s="13" t="s">
        <v>35</v>
      </c>
      <c r="B12" s="13" t="str">
        <f aca="false">IFERROR(INDEX(Species!$B$2:$B$300,$O12),"NOT IN SPECIES")</f>
        <v>Jararacussu</v>
      </c>
      <c r="C12" s="13" t="str">
        <f aca="false">IFERROR(INDEX(Species!$C$2:$C$300,$O12)&amp;"","")</f>
        <v/>
      </c>
      <c r="D12" s="14" t="n">
        <f aca="false">IFERROR(INDEX(Species!$G$2:$G$300,$O12),"")</f>
        <v>0.46</v>
      </c>
      <c r="E12" s="15" t="n">
        <f aca="false">IFERROR(INDEX(Species!$L$2:$L$300,$O12),"")</f>
        <v>321</v>
      </c>
      <c r="F12" s="16" t="n">
        <f aca="false">IFERROR(INDEX(Scores!$C$2:$C$300,$N12),"")</f>
        <v>69.0166908313959</v>
      </c>
      <c r="G12" s="17" t="n">
        <f aca="false">IFERROR(INDEX(Scores!$M$2:$M$300,$N12),"")</f>
        <v>45.5555555555556</v>
      </c>
      <c r="H12" s="17" t="n">
        <f aca="false">IFERROR(INDEX(Scores!$N$2:$N$300,$N12),"")</f>
        <v>70</v>
      </c>
      <c r="I12" s="17" t="n">
        <f aca="false">IFERROR(INDEX(Scores!$O$2:$O$300,$N12),"")</f>
        <v>70</v>
      </c>
      <c r="J12" s="17" t="n">
        <f aca="false">IFERROR(INDEX(Scores!$P$2:$P$300,$N12),"")</f>
        <v>30</v>
      </c>
      <c r="K12" s="16" t="n">
        <f aca="false">IFERROR(INDEX(Scores!$E$2:$E$300,$N12),"")</f>
        <v>54.4444444444444</v>
      </c>
      <c r="L12" s="16" t="n">
        <f aca="false">IF(w_haz+w_risk&lt;=0,"",IF(AND(OR(w_haz=0,ISNUMBER(F12)),OR(w_risk=0,ISNUMBER(K12))),(w_haz*N(F12)+w_risk*N(K12))/(w_haz*ISNUMBER(F12)+w_risk*ISNUMBER(K12)),IF(ISNUMBER(F12),"needs Human Risk",IF(ISNUMBER(K12),"needs Venom Hazard","needs both"))))</f>
        <v>61.7305676379202</v>
      </c>
      <c r="M12" s="13" t="n">
        <f aca="false">IF(ISNUMBER(L12),RANK(L12,$L$2:$L$300),"")</f>
        <v>11</v>
      </c>
      <c r="N12" s="18" t="n">
        <f aca="false">IFERROR(MATCH($A12,Scores!$A$2:$A$300,0),"")</f>
        <v>18</v>
      </c>
      <c r="O12" s="18" t="n">
        <f aca="false">IFERROR(MATCH($A12,Species!$A$2:$A$300,0),"")</f>
        <v>15</v>
      </c>
    </row>
    <row r="13" customFormat="false" ht="15" hidden="false" customHeight="true" outlineLevel="0" collapsed="false">
      <c r="A13" s="13" t="s">
        <v>31</v>
      </c>
      <c r="B13" s="13" t="str">
        <f aca="false">IFERROR(INDEX(Species!$B$2:$B$300,$O13),"NOT IN SPECIES")</f>
        <v>Black-necked spitting cobra</v>
      </c>
      <c r="C13" s="13" t="str">
        <f aca="false">IFERROR(INDEX(Species!$C$2:$C$300,$O13)&amp;"","")</f>
        <v/>
      </c>
      <c r="D13" s="14" t="n">
        <f aca="false">IFERROR(INDEX(Species!$G$2:$G$300,$O13),"")</f>
        <v>0.23</v>
      </c>
      <c r="E13" s="15" t="n">
        <f aca="false">IFERROR(INDEX(Species!$L$2:$L$300,$O13),"")</f>
        <v>350</v>
      </c>
      <c r="F13" s="16" t="n">
        <f aca="false">IFERROR(INDEX(Scores!$C$2:$C$300,$N13),"")</f>
        <v>75.9274975464301</v>
      </c>
      <c r="G13" s="17" t="n">
        <f aca="false">IFERROR(INDEX(Scores!$M$2:$M$300,$N13),"")</f>
        <v>63.3333333333333</v>
      </c>
      <c r="H13" s="17" t="n">
        <f aca="false">IFERROR(INDEX(Scores!$N$2:$N$300,$N13),"")</f>
        <v>50</v>
      </c>
      <c r="I13" s="17" t="n">
        <f aca="false">IFERROR(INDEX(Scores!$O$2:$O$300,$N13),"")</f>
        <v>30</v>
      </c>
      <c r="J13" s="17" t="n">
        <f aca="false">IFERROR(INDEX(Scores!$P$2:$P$300,$N13),"")</f>
        <v>30</v>
      </c>
      <c r="K13" s="16" t="n">
        <f aca="false">IFERROR(INDEX(Scores!$E$2:$E$300,$N13),"")</f>
        <v>47.4358974358974</v>
      </c>
      <c r="L13" s="16" t="n">
        <f aca="false">IF(w_haz+w_risk&lt;=0,"",IF(AND(OR(w_haz=0,ISNUMBER(F13)),OR(w_risk=0,ISNUMBER(K13))),(w_haz*N(F13)+w_risk*N(K13))/(w_haz*ISNUMBER(F13)+w_risk*ISNUMBER(K13)),IF(ISNUMBER(F13),"needs Human Risk",IF(ISNUMBER(K13),"needs Venom Hazard","needs both"))))</f>
        <v>61.6816974911638</v>
      </c>
      <c r="M13" s="13" t="n">
        <f aca="false">IF(ISNUMBER(L13),RANK(L13,$L$2:$L$300),"")</f>
        <v>13</v>
      </c>
      <c r="N13" s="18" t="n">
        <f aca="false">IFERROR(MATCH($A13,Scores!$A$2:$A$300,0),"")</f>
        <v>14</v>
      </c>
      <c r="O13" s="18" t="n">
        <f aca="false">IFERROR(MATCH($A13,Species!$A$2:$A$300,0),"")</f>
        <v>55</v>
      </c>
    </row>
    <row r="14" customFormat="false" ht="15" hidden="false" customHeight="true" outlineLevel="0" collapsed="false">
      <c r="A14" s="13" t="s">
        <v>19</v>
      </c>
      <c r="B14" s="13" t="str">
        <f aca="false">IFERROR(INDEX(Species!$B$2:$B$300,$O14),"NOT IN SPECIES")</f>
        <v>Forest cobra</v>
      </c>
      <c r="C14" s="13" t="str">
        <f aca="false">IFERROR(INDEX(Species!$C$2:$C$300,$O14)&amp;"","")</f>
        <v>Black-lipped cobra</v>
      </c>
      <c r="D14" s="14" t="n">
        <f aca="false">IFERROR(INDEX(Species!$G$2:$G$300,$O14),"")</f>
        <v>0.12</v>
      </c>
      <c r="E14" s="15" t="n">
        <f aca="false">IFERROR(INDEX(Species!$L$2:$L$300,$O14),"")</f>
        <v>1102</v>
      </c>
      <c r="F14" s="16" t="n">
        <f aca="false">IFERROR(INDEX(Scores!$C$2:$C$300,$N14),"")</f>
        <v>89.652713765716</v>
      </c>
      <c r="G14" s="17" t="n">
        <f aca="false">IFERROR(INDEX(Scores!$M$2:$M$300,$N14),"")</f>
        <v>27.7777777777778</v>
      </c>
      <c r="H14" s="17" t="n">
        <f aca="false">IFERROR(INDEX(Scores!$N$2:$N$300,$N14),"")</f>
        <v>50</v>
      </c>
      <c r="I14" s="17" t="n">
        <f aca="false">IFERROR(INDEX(Scores!$O$2:$O$300,$N14),"")</f>
        <v>30</v>
      </c>
      <c r="J14" s="17" t="n">
        <f aca="false">IFERROR(INDEX(Scores!$P$2:$P$300,$N14),"")</f>
        <v>30</v>
      </c>
      <c r="K14" s="16" t="n">
        <f aca="false">IFERROR(INDEX(Scores!$E$2:$E$300,$N14),"")</f>
        <v>33.7606837606838</v>
      </c>
      <c r="L14" s="16" t="n">
        <f aca="false">IF(w_haz+w_risk&lt;=0,"",IF(AND(OR(w_haz=0,ISNUMBER(F14)),OR(w_risk=0,ISNUMBER(K14))),(w_haz*N(F14)+w_risk*N(K14))/(w_haz*ISNUMBER(F14)+w_risk*ISNUMBER(K14)),IF(ISNUMBER(F14),"needs Human Risk",IF(ISNUMBER(K14),"needs Venom Hazard","needs both"))))</f>
        <v>61.7066987631999</v>
      </c>
      <c r="M14" s="13" t="n">
        <f aca="false">IF(ISNUMBER(L14),RANK(L14,$L$2:$L$300),"")</f>
        <v>12</v>
      </c>
      <c r="N14" s="18" t="n">
        <f aca="false">IFERROR(MATCH($A14,Scores!$A$2:$A$300,0),"")</f>
        <v>2</v>
      </c>
      <c r="O14" s="18" t="n">
        <f aca="false">IFERROR(MATCH($A14,Species!$A$2:$A$300,0),"")</f>
        <v>52</v>
      </c>
    </row>
    <row r="15" customFormat="false" ht="15" hidden="false" customHeight="true" outlineLevel="0" collapsed="false">
      <c r="A15" s="13" t="s">
        <v>42</v>
      </c>
      <c r="B15" s="13" t="str">
        <f aca="false">IFERROR(INDEX(Species!$B$2:$B$300,$O15),"NOT IN SPECIES")</f>
        <v>Indian cobra</v>
      </c>
      <c r="C15" s="13" t="str">
        <f aca="false">IFERROR(INDEX(Species!$C$2:$C$300,$O15)&amp;"","")</f>
        <v>Spectacled cobra; Asian cobra</v>
      </c>
      <c r="D15" s="14" t="n">
        <f aca="false">IFERROR(INDEX(Species!$G$2:$G$300,$O15),"")</f>
        <v>0.45</v>
      </c>
      <c r="E15" s="15" t="n">
        <f aca="false">IFERROR(INDEX(Species!$L$2:$L$300,$O15),"")</f>
        <v>250</v>
      </c>
      <c r="F15" s="16" t="n">
        <f aca="false">IFERROR(INDEX(Scores!$C$2:$C$300,$N15),"")</f>
        <v>67.519321104168</v>
      </c>
      <c r="G15" s="17" t="n">
        <f aca="false">IFERROR(INDEX(Scores!$M$2:$M$300,$N15),"")</f>
        <v>90</v>
      </c>
      <c r="H15" s="17" t="n">
        <f aca="false">IFERROR(INDEX(Scores!$N$2:$N$300,$N15),"")</f>
        <v>50</v>
      </c>
      <c r="I15" s="17" t="n">
        <f aca="false">IFERROR(INDEX(Scores!$O$2:$O$300,$N15),"")</f>
        <v>30</v>
      </c>
      <c r="J15" s="17" t="n">
        <f aca="false">IFERROR(INDEX(Scores!$P$2:$P$300,$N15),"")</f>
        <v>10</v>
      </c>
      <c r="K15" s="16" t="n">
        <f aca="false">IFERROR(INDEX(Scores!$E$2:$E$300,$N15),"")</f>
        <v>54.6153846153846</v>
      </c>
      <c r="L15" s="16" t="n">
        <f aca="false">IF(w_haz+w_risk&lt;=0,"",IF(AND(OR(w_haz=0,ISNUMBER(F15)),OR(w_risk=0,ISNUMBER(K15))),(w_haz*N(F15)+w_risk*N(K15))/(w_haz*ISNUMBER(F15)+w_risk*ISNUMBER(K15)),IF(ISNUMBER(F15),"needs Human Risk",IF(ISNUMBER(K15),"needs Venom Hazard","needs both"))))</f>
        <v>61.0673528597763</v>
      </c>
      <c r="M15" s="13" t="n">
        <f aca="false">IF(ISNUMBER(L15),RANK(L15,$L$2:$L$300),"")</f>
        <v>14</v>
      </c>
      <c r="N15" s="18" t="n">
        <f aca="false">IFERROR(MATCH($A15,Scores!$A$2:$A$300,0),"")</f>
        <v>25</v>
      </c>
      <c r="O15" s="18" t="n">
        <f aca="false">IFERROR(MATCH($A15,Species!$A$2:$A$300,0),"")</f>
        <v>18</v>
      </c>
    </row>
    <row r="16" customFormat="false" ht="15" hidden="false" customHeight="true" outlineLevel="0" collapsed="false">
      <c r="A16" s="13" t="s">
        <v>21</v>
      </c>
      <c r="B16" s="13" t="str">
        <f aca="false">IFERROR(INDEX(Species!$B$2:$B$300,$O16),"NOT IN SPECIES")</f>
        <v>Coastal taipan</v>
      </c>
      <c r="C16" s="13" t="str">
        <f aca="false">IFERROR(INDEX(Species!$C$2:$C$300,$O16)&amp;"","")</f>
        <v>Common taipan</v>
      </c>
      <c r="D16" s="14" t="n">
        <f aca="false">IFERROR(INDEX(Species!$G$2:$G$300,$O16),"")</f>
        <v>0.099</v>
      </c>
      <c r="E16" s="15" t="n">
        <f aca="false">IFERROR(INDEX(Species!$L$2:$L$300,$O16),"")</f>
        <v>400</v>
      </c>
      <c r="F16" s="16" t="n">
        <f aca="false">IFERROR(INDEX(Scores!$C$2:$C$300,$N16),"")</f>
        <v>84.5244847222582</v>
      </c>
      <c r="G16" s="17" t="n">
        <f aca="false">IFERROR(INDEX(Scores!$M$2:$M$300,$N16),"")</f>
        <v>45.5555555555556</v>
      </c>
      <c r="H16" s="17" t="n">
        <f aca="false">IFERROR(INDEX(Scores!$N$2:$N$300,$N16),"")</f>
        <v>50</v>
      </c>
      <c r="I16" s="17" t="n">
        <f aca="false">IFERROR(INDEX(Scores!$O$2:$O$300,$N16),"")</f>
        <v>30</v>
      </c>
      <c r="J16" s="17" t="n">
        <f aca="false">IFERROR(INDEX(Scores!$P$2:$P$300,$N16),"")</f>
        <v>10</v>
      </c>
      <c r="K16" s="16" t="n">
        <f aca="false">IFERROR(INDEX(Scores!$E$2:$E$300,$N16),"")</f>
        <v>37.5213675213675</v>
      </c>
      <c r="L16" s="16" t="n">
        <f aca="false">IF(w_haz+w_risk&lt;=0,"",IF(AND(OR(w_haz=0,ISNUMBER(F16)),OR(w_risk=0,ISNUMBER(K16))),(w_haz*N(F16)+w_risk*N(K16))/(w_haz*ISNUMBER(F16)+w_risk*ISNUMBER(K16)),IF(ISNUMBER(F16),"needs Human Risk",IF(ISNUMBER(K16),"needs Venom Hazard","needs both"))))</f>
        <v>61.0229261218128</v>
      </c>
      <c r="M16" s="13" t="n">
        <f aca="false">IF(ISNUMBER(L16),RANK(L16,$L$2:$L$300),"")</f>
        <v>15</v>
      </c>
      <c r="N16" s="18" t="n">
        <f aca="false">IFERROR(MATCH($A16,Scores!$A$2:$A$300,0),"")</f>
        <v>4</v>
      </c>
      <c r="O16" s="18" t="n">
        <f aca="false">IFERROR(MATCH($A16,Species!$A$2:$A$300,0),"")</f>
        <v>3</v>
      </c>
    </row>
    <row r="17" customFormat="false" ht="15" hidden="false" customHeight="true" outlineLevel="0" collapsed="false">
      <c r="A17" s="13" t="s">
        <v>24</v>
      </c>
      <c r="B17" s="13" t="str">
        <f aca="false">IFERROR(INDEX(Species!$B$2:$B$300,$O17),"NOT IN SPECIES")</f>
        <v>Black mamba</v>
      </c>
      <c r="C17" s="13" t="str">
        <f aca="false">IFERROR(INDEX(Species!$C$2:$C$300,$O17)&amp;"","")</f>
        <v/>
      </c>
      <c r="D17" s="14" t="n">
        <f aca="false">IFERROR(INDEX(Species!$G$2:$G$300,$O17),"")</f>
        <v>0.05</v>
      </c>
      <c r="E17" s="15" t="n">
        <f aca="false">IFERROR(INDEX(Species!$L$2:$L$300,$O17),"")</f>
        <v>100</v>
      </c>
      <c r="F17" s="16" t="n">
        <f aca="false">IFERROR(INDEX(Scores!$C$2:$C$300,$N17),"")</f>
        <v>81.3403793354145</v>
      </c>
      <c r="G17" s="17" t="n">
        <f aca="false">IFERROR(INDEX(Scores!$M$2:$M$300,$N17),"")</f>
        <v>45.5555555555556</v>
      </c>
      <c r="H17" s="17" t="n">
        <f aca="false">IFERROR(INDEX(Scores!$N$2:$N$300,$N17),"")</f>
        <v>70</v>
      </c>
      <c r="I17" s="17" t="n">
        <f aca="false">IFERROR(INDEX(Scores!$O$2:$O$300,$N17),"")</f>
        <v>10</v>
      </c>
      <c r="J17" s="17" t="n">
        <f aca="false">IFERROR(INDEX(Scores!$P$2:$P$300,$N17),"")</f>
        <v>30</v>
      </c>
      <c r="K17" s="16" t="n">
        <f aca="false">IFERROR(INDEX(Scores!$E$2:$E$300,$N17),"")</f>
        <v>40.5982905982906</v>
      </c>
      <c r="L17" s="16" t="n">
        <f aca="false">IF(w_haz+w_risk&lt;=0,"",IF(AND(OR(w_haz=0,ISNUMBER(F17)),OR(w_risk=0,ISNUMBER(K17))),(w_haz*N(F17)+w_risk*N(K17))/(w_haz*ISNUMBER(F17)+w_risk*ISNUMBER(K17)),IF(ISNUMBER(F17),"needs Human Risk",IF(ISNUMBER(K17),"needs Venom Hazard","needs both"))))</f>
        <v>60.9693349668526</v>
      </c>
      <c r="M17" s="13" t="n">
        <f aca="false">IF(ISNUMBER(L17),RANK(L17,$L$2:$L$300),"")</f>
        <v>16</v>
      </c>
      <c r="N17" s="18" t="n">
        <f aca="false">IFERROR(MATCH($A17,Scores!$A$2:$A$300,0),"")</f>
        <v>7</v>
      </c>
      <c r="O17" s="18" t="n">
        <f aca="false">IFERROR(MATCH($A17,Species!$A$2:$A$300,0),"")</f>
        <v>7</v>
      </c>
    </row>
    <row r="18" customFormat="false" ht="15" hidden="false" customHeight="true" outlineLevel="0" collapsed="false">
      <c r="A18" s="13" t="s">
        <v>38</v>
      </c>
      <c r="B18" s="13" t="str">
        <f aca="false">IFERROR(INDEX(Species!$B$2:$B$300,$O18),"NOT IN SPECIES")</f>
        <v>Cape cobra</v>
      </c>
      <c r="C18" s="13" t="str">
        <f aca="false">IFERROR(INDEX(Species!$C$2:$C$300,$O18)&amp;"","")</f>
        <v>Yellow cobra; Geelslang</v>
      </c>
      <c r="D18" s="14" t="n">
        <f aca="false">IFERROR(INDEX(Species!$G$2:$G$300,$O18),"")</f>
        <v>0.4</v>
      </c>
      <c r="E18" s="15" t="n">
        <f aca="false">IFERROR(INDEX(Species!$L$2:$L$300,$O18),"")</f>
        <v>250</v>
      </c>
      <c r="F18" s="16" t="n">
        <f aca="false">IFERROR(INDEX(Scores!$C$2:$C$300,$N18),"")</f>
        <v>68.5938162347624</v>
      </c>
      <c r="G18" s="17" t="n">
        <f aca="false">IFERROR(INDEX(Scores!$M$2:$M$300,$N18),"")</f>
        <v>63.3333333333333</v>
      </c>
      <c r="H18" s="17" t="n">
        <f aca="false">IFERROR(INDEX(Scores!$N$2:$N$300,$N18),"")</f>
        <v>70</v>
      </c>
      <c r="I18" s="17" t="n">
        <f aca="false">IFERROR(INDEX(Scores!$O$2:$O$300,$N18),"")</f>
        <v>30</v>
      </c>
      <c r="J18" s="17" t="n">
        <f aca="false">IFERROR(INDEX(Scores!$P$2:$P$300,$N18),"")</f>
        <v>30</v>
      </c>
      <c r="K18" s="16" t="n">
        <f aca="false">IFERROR(INDEX(Scores!$E$2:$E$300,$N18),"")</f>
        <v>52.0512820512821</v>
      </c>
      <c r="L18" s="16" t="n">
        <f aca="false">IF(w_haz+w_risk&lt;=0,"",IF(AND(OR(w_haz=0,ISNUMBER(F18)),OR(w_risk=0,ISNUMBER(K18))),(w_haz*N(F18)+w_risk*N(K18))/(w_haz*ISNUMBER(F18)+w_risk*ISNUMBER(K18)),IF(ISNUMBER(F18),"needs Human Risk",IF(ISNUMBER(K18),"needs Venom Hazard","needs both"))))</f>
        <v>60.3225491430222</v>
      </c>
      <c r="M18" s="13" t="n">
        <f aca="false">IF(ISNUMBER(L18),RANK(L18,$L$2:$L$300),"")</f>
        <v>17</v>
      </c>
      <c r="N18" s="18" t="n">
        <f aca="false">IFERROR(MATCH($A18,Scores!$A$2:$A$300,0),"")</f>
        <v>21</v>
      </c>
      <c r="O18" s="18" t="n">
        <f aca="false">IFERROR(MATCH($A18,Species!$A$2:$A$300,0),"")</f>
        <v>75</v>
      </c>
    </row>
    <row r="19" customFormat="false" ht="15" hidden="false" customHeight="true" outlineLevel="0" collapsed="false">
      <c r="A19" s="13" t="s">
        <v>47</v>
      </c>
      <c r="B19" s="13" t="str">
        <f aca="false">IFERROR(INDEX(Species!$B$2:$B$300,$O19),"NOT IN SPECIES")</f>
        <v>Common Indian krait</v>
      </c>
      <c r="C19" s="13" t="str">
        <f aca="false">IFERROR(INDEX(Species!$C$2:$C$300,$O19)&amp;"","")</f>
        <v>Blue krait</v>
      </c>
      <c r="D19" s="14" t="n">
        <f aca="false">IFERROR(INDEX(Species!$G$2:$G$300,$O19),"")</f>
        <v>0.09</v>
      </c>
      <c r="E19" s="15" t="n">
        <f aca="false">IFERROR(INDEX(Species!$L$2:$L$300,$O19),"")</f>
        <v>20</v>
      </c>
      <c r="F19" s="16" t="n">
        <f aca="false">IFERROR(INDEX(Scores!$C$2:$C$300,$N19),"")</f>
        <v>65.0468296818668</v>
      </c>
      <c r="G19" s="17" t="n">
        <f aca="false">IFERROR(INDEX(Scores!$M$2:$M$300,$N19),"")</f>
        <v>90</v>
      </c>
      <c r="H19" s="17" t="n">
        <f aca="false">IFERROR(INDEX(Scores!$N$2:$N$300,$N19),"")</f>
        <v>50</v>
      </c>
      <c r="I19" s="17" t="n">
        <f aca="false">IFERROR(INDEX(Scores!$O$2:$O$300,$N19),"")</f>
        <v>30</v>
      </c>
      <c r="J19" s="17" t="n">
        <f aca="false">IFERROR(INDEX(Scores!$P$2:$P$300,$N19),"")</f>
        <v>10</v>
      </c>
      <c r="K19" s="16" t="n">
        <f aca="false">IFERROR(INDEX(Scores!$E$2:$E$300,$N19),"")</f>
        <v>54.6153846153846</v>
      </c>
      <c r="L19" s="16" t="n">
        <f aca="false">IF(w_haz+w_risk&lt;=0,"",IF(AND(OR(w_haz=0,ISNUMBER(F19)),OR(w_risk=0,ISNUMBER(K19))),(w_haz*N(F19)+w_risk*N(K19))/(w_haz*ISNUMBER(F19)+w_risk*ISNUMBER(K19)),IF(ISNUMBER(F19),"needs Human Risk",IF(ISNUMBER(K19),"needs Venom Hazard","needs both"))))</f>
        <v>59.8311071486257</v>
      </c>
      <c r="M19" s="13" t="n">
        <f aca="false">IF(ISNUMBER(L19),RANK(L19,$L$2:$L$300),"")</f>
        <v>18</v>
      </c>
      <c r="N19" s="18" t="n">
        <f aca="false">IFERROR(MATCH($A19,Scores!$A$2:$A$300,0),"")</f>
        <v>30</v>
      </c>
      <c r="O19" s="18" t="n">
        <f aca="false">IFERROR(MATCH($A19,Species!$A$2:$A$300,0),"")</f>
        <v>27</v>
      </c>
    </row>
    <row r="20" customFormat="false" ht="15" hidden="false" customHeight="true" outlineLevel="0" collapsed="false">
      <c r="A20" s="13" t="s">
        <v>52</v>
      </c>
      <c r="B20" s="13" t="str">
        <f aca="false">IFERROR(INDEX(Species!$B$2:$B$300,$O20),"NOT IN SPECIES")</f>
        <v>Blunt-nosed viper</v>
      </c>
      <c r="C20" s="13" t="str">
        <f aca="false">IFERROR(INDEX(Species!$C$2:$C$300,$O20)&amp;"","")</f>
        <v>Levantine viper</v>
      </c>
      <c r="D20" s="14" t="n">
        <f aca="false">IFERROR(INDEX(Species!$G$2:$G$300,$O20),"")</f>
        <v>0.64</v>
      </c>
      <c r="E20" s="15" t="n">
        <f aca="false">IFERROR(INDEX(Species!$L$2:$L$300,$O20),"")</f>
        <v>150</v>
      </c>
      <c r="F20" s="16" t="n">
        <f aca="false">IFERROR(INDEX(Scores!$C$2:$C$300,$N20),"")</f>
        <v>60.8365819393079</v>
      </c>
      <c r="G20" s="17" t="n">
        <f aca="false">IFERROR(INDEX(Scores!$M$2:$M$300,$N20),"")</f>
        <v>54.4444444444444</v>
      </c>
      <c r="H20" s="17" t="n">
        <f aca="false">IFERROR(INDEX(Scores!$N$2:$N$300,$N20),"")</f>
        <v>70</v>
      </c>
      <c r="I20" s="17" t="n">
        <f aca="false">IFERROR(INDEX(Scores!$O$2:$O$300,$N20),"")</f>
        <v>70</v>
      </c>
      <c r="J20" s="17" t="n">
        <f aca="false">IFERROR(INDEX(Scores!$P$2:$P$300,$N20),"")</f>
        <v>30</v>
      </c>
      <c r="K20" s="16" t="n">
        <f aca="false">IFERROR(INDEX(Scores!$E$2:$E$300,$N20),"")</f>
        <v>57.8632478632479</v>
      </c>
      <c r="L20" s="16" t="n">
        <f aca="false">IF(w_haz+w_risk&lt;=0,"",IF(AND(OR(w_haz=0,ISNUMBER(F20)),OR(w_risk=0,ISNUMBER(K20))),(w_haz*N(F20)+w_risk*N(K20))/(w_haz*ISNUMBER(F20)+w_risk*ISNUMBER(K20)),IF(ISNUMBER(F20),"needs Human Risk",IF(ISNUMBER(K20),"needs Venom Hazard","needs both"))))</f>
        <v>59.3499149012779</v>
      </c>
      <c r="M20" s="13" t="n">
        <f aca="false">IF(ISNUMBER(L20),RANK(L20,$L$2:$L$300),"")</f>
        <v>19</v>
      </c>
      <c r="N20" s="18" t="n">
        <f aca="false">IFERROR(MATCH($A20,Scores!$A$2:$A$300,0),"")</f>
        <v>35</v>
      </c>
      <c r="O20" s="18" t="n">
        <f aca="false">IFERROR(MATCH($A20,Species!$A$2:$A$300,0),"")</f>
        <v>26</v>
      </c>
    </row>
    <row r="21" customFormat="false" ht="15" hidden="false" customHeight="true" outlineLevel="0" collapsed="false">
      <c r="A21" s="13" t="s">
        <v>71</v>
      </c>
      <c r="B21" s="13" t="str">
        <f aca="false">IFERROR(INDEX(Species!$B$2:$B$300,$O21),"NOT IN SPECIES")</f>
        <v>Jararaca</v>
      </c>
      <c r="C21" s="13" t="str">
        <f aca="false">IFERROR(INDEX(Species!$C$2:$C$300,$O21)&amp;"","")</f>
        <v/>
      </c>
      <c r="D21" s="14" t="n">
        <f aca="false">IFERROR(INDEX(Species!$G$2:$G$300,$O21),"")</f>
        <v>1.1</v>
      </c>
      <c r="E21" s="15" t="n">
        <f aca="false">IFERROR(INDEX(Species!$L$2:$L$300,$O21),"")</f>
        <v>70</v>
      </c>
      <c r="F21" s="16" t="n">
        <f aca="false">IFERROR(INDEX(Scores!$C$2:$C$300,$N21),"")</f>
        <v>50.7192847382208</v>
      </c>
      <c r="G21" s="17" t="n">
        <f aca="false">IFERROR(INDEX(Scores!$M$2:$M$300,$N21),"")</f>
        <v>72.2222222222222</v>
      </c>
      <c r="H21" s="17" t="n">
        <f aca="false">IFERROR(INDEX(Scores!$N$2:$N$300,$N21),"")</f>
        <v>70</v>
      </c>
      <c r="I21" s="17" t="n">
        <f aca="false">IFERROR(INDEX(Scores!$O$2:$O$300,$N21),"")</f>
        <v>70</v>
      </c>
      <c r="J21" s="17" t="n">
        <f aca="false">IFERROR(INDEX(Scores!$P$2:$P$300,$N21),"")</f>
        <v>30</v>
      </c>
      <c r="K21" s="16" t="n">
        <f aca="false">IFERROR(INDEX(Scores!$E$2:$E$300,$N21),"")</f>
        <v>64.7008547008547</v>
      </c>
      <c r="L21" s="16" t="n">
        <f aca="false">IF(w_haz+w_risk&lt;=0,"",IF(AND(OR(w_haz=0,ISNUMBER(F21)),OR(w_risk=0,ISNUMBER(K21))),(w_haz*N(F21)+w_risk*N(K21))/(w_haz*ISNUMBER(F21)+w_risk*ISNUMBER(K21)),IF(ISNUMBER(F21),"needs Human Risk",IF(ISNUMBER(K21),"needs Venom Hazard","needs both"))))</f>
        <v>57.7100697195378</v>
      </c>
      <c r="M21" s="13" t="n">
        <f aca="false">IF(ISNUMBER(L21),RANK(L21,$L$2:$L$300),"")</f>
        <v>20</v>
      </c>
      <c r="N21" s="18" t="n">
        <f aca="false">IFERROR(MATCH($A21,Scores!$A$2:$A$300,0),"")</f>
        <v>54</v>
      </c>
      <c r="O21" s="18" t="n">
        <f aca="false">IFERROR(MATCH($A21,Species!$A$2:$A$300,0),"")</f>
        <v>38</v>
      </c>
    </row>
    <row r="22" customFormat="false" ht="15" hidden="false" customHeight="true" outlineLevel="0" collapsed="false">
      <c r="A22" s="13" t="s">
        <v>43</v>
      </c>
      <c r="B22" s="13" t="str">
        <f aca="false">IFERROR(INDEX(Species!$B$2:$B$300,$O22),"NOT IN SPECIES")</f>
        <v>Eastern diamondback rattlesnake</v>
      </c>
      <c r="C22" s="13" t="str">
        <f aca="false">IFERROR(INDEX(Species!$C$2:$C$300,$O22)&amp;"","")</f>
        <v/>
      </c>
      <c r="D22" s="14" t="n">
        <f aca="false">IFERROR(INDEX(Species!$G$2:$G$300,$O22),"")</f>
        <v>1.2</v>
      </c>
      <c r="E22" s="15" t="n">
        <f aca="false">IFERROR(INDEX(Species!$L$2:$L$300,$O22),"")</f>
        <v>850</v>
      </c>
      <c r="F22" s="16" t="n">
        <f aca="false">IFERROR(INDEX(Scores!$C$2:$C$300,$N22),"")</f>
        <v>66.8834782783296</v>
      </c>
      <c r="G22" s="17" t="n">
        <f aca="false">IFERROR(INDEX(Scores!$M$2:$M$300,$N22),"")</f>
        <v>36.6666666666667</v>
      </c>
      <c r="H22" s="17" t="n">
        <f aca="false">IFERROR(INDEX(Scores!$N$2:$N$300,$N22),"")</f>
        <v>50</v>
      </c>
      <c r="I22" s="17" t="n">
        <f aca="false">IFERROR(INDEX(Scores!$O$2:$O$300,$N22),"")</f>
        <v>90</v>
      </c>
      <c r="J22" s="17" t="n">
        <f aca="false">IFERROR(INDEX(Scores!$P$2:$P$300,$N22),"")</f>
        <v>10</v>
      </c>
      <c r="K22" s="16" t="n">
        <f aca="false">IFERROR(INDEX(Scores!$E$2:$E$300,$N22),"")</f>
        <v>47.948717948718</v>
      </c>
      <c r="L22" s="16" t="n">
        <f aca="false">IF(w_haz+w_risk&lt;=0,"",IF(AND(OR(w_haz=0,ISNUMBER(F22)),OR(w_risk=0,ISNUMBER(K22))),(w_haz*N(F22)+w_risk*N(K22))/(w_haz*ISNUMBER(F22)+w_risk*ISNUMBER(K22)),IF(ISNUMBER(F22),"needs Human Risk",IF(ISNUMBER(K22),"needs Venom Hazard","needs both"))))</f>
        <v>57.4160981135238</v>
      </c>
      <c r="M22" s="13" t="n">
        <f aca="false">IF(ISNUMBER(L22),RANK(L22,$L$2:$L$300),"")</f>
        <v>22</v>
      </c>
      <c r="N22" s="18" t="n">
        <f aca="false">IFERROR(MATCH($A22,Scores!$A$2:$A$300,0),"")</f>
        <v>26</v>
      </c>
      <c r="O22" s="18" t="n">
        <f aca="false">IFERROR(MATCH($A22,Species!$A$2:$A$300,0),"")</f>
        <v>14</v>
      </c>
    </row>
    <row r="23" customFormat="false" ht="15" hidden="false" customHeight="true" outlineLevel="0" collapsed="false">
      <c r="A23" s="13" t="s">
        <v>27</v>
      </c>
      <c r="B23" s="13" t="str">
        <f aca="false">IFERROR(INDEX(Species!$B$2:$B$300,$O23),"NOT IN SPECIES")</f>
        <v>Tiger snake</v>
      </c>
      <c r="C23" s="13" t="str">
        <f aca="false">IFERROR(INDEX(Species!$C$2:$C$300,$O23)&amp;"","")</f>
        <v>Mainland tiger snake</v>
      </c>
      <c r="D23" s="14" t="n">
        <f aca="false">IFERROR(INDEX(Species!$G$2:$G$300,$O23),"")</f>
        <v>0.118</v>
      </c>
      <c r="E23" s="15" t="n">
        <f aca="false">IFERROR(INDEX(Species!$L$2:$L$300,$O23),"")</f>
        <v>189</v>
      </c>
      <c r="F23" s="16" t="n">
        <f aca="false">IFERROR(INDEX(Scores!$C$2:$C$300,$N23),"")</f>
        <v>77.8307535985831</v>
      </c>
      <c r="G23" s="17" t="n">
        <f aca="false">IFERROR(INDEX(Scores!$M$2:$M$300,$N23),"")</f>
        <v>45.5555555555556</v>
      </c>
      <c r="H23" s="17" t="n">
        <f aca="false">IFERROR(INDEX(Scores!$N$2:$N$300,$N23),"")</f>
        <v>50</v>
      </c>
      <c r="I23" s="17" t="n">
        <f aca="false">IFERROR(INDEX(Scores!$O$2:$O$300,$N23),"")</f>
        <v>30</v>
      </c>
      <c r="J23" s="17" t="n">
        <f aca="false">IFERROR(INDEX(Scores!$P$2:$P$300,$N23),"")</f>
        <v>10</v>
      </c>
      <c r="K23" s="16" t="n">
        <f aca="false">IFERROR(INDEX(Scores!$E$2:$E$300,$N23),"")</f>
        <v>37.5213675213675</v>
      </c>
      <c r="L23" s="16" t="n">
        <f aca="false">IF(w_haz+w_risk&lt;=0,"",IF(AND(OR(w_haz=0,ISNUMBER(F23)),OR(w_risk=0,ISNUMBER(K23))),(w_haz*N(F23)+w_risk*N(K23))/(w_haz*ISNUMBER(F23)+w_risk*ISNUMBER(K23)),IF(ISNUMBER(F23),"needs Human Risk",IF(ISNUMBER(K23),"needs Venom Hazard","needs both"))))</f>
        <v>57.6760605599753</v>
      </c>
      <c r="M23" s="13" t="n">
        <f aca="false">IF(ISNUMBER(L23),RANK(L23,$L$2:$L$300),"")</f>
        <v>21</v>
      </c>
      <c r="N23" s="18" t="n">
        <f aca="false">IFERROR(MATCH($A23,Scores!$A$2:$A$300,0),"")</f>
        <v>10</v>
      </c>
      <c r="O23" s="18" t="n">
        <f aca="false">IFERROR(MATCH($A23,Species!$A$2:$A$300,0),"")</f>
        <v>9</v>
      </c>
    </row>
    <row r="24" customFormat="false" ht="15" hidden="false" customHeight="true" outlineLevel="0" collapsed="false">
      <c r="A24" s="13" t="s">
        <v>56</v>
      </c>
      <c r="B24" s="13" t="str">
        <f aca="false">IFERROR(INDEX(Species!$B$2:$B$300,$O24),"NOT IN SPECIES")</f>
        <v>Western diamondback rattlesnake</v>
      </c>
      <c r="C24" s="13" t="str">
        <f aca="false">IFERROR(INDEX(Species!$C$2:$C$300,$O24)&amp;"","")</f>
        <v/>
      </c>
      <c r="D24" s="14" t="n">
        <f aca="false">IFERROR(INDEX(Species!$G$2:$G$300,$O24),"")</f>
        <v>2.2</v>
      </c>
      <c r="E24" s="15" t="n">
        <f aca="false">IFERROR(INDEX(Species!$L$2:$L$300,$O24),"")</f>
        <v>600</v>
      </c>
      <c r="F24" s="16" t="n">
        <f aca="false">IFERROR(INDEX(Scores!$C$2:$C$300,$N24),"")</f>
        <v>58.9881911237116</v>
      </c>
      <c r="G24" s="17" t="n">
        <f aca="false">IFERROR(INDEX(Scores!$M$2:$M$300,$N24),"")</f>
        <v>54.4444444444444</v>
      </c>
      <c r="H24" s="17" t="n">
        <f aca="false">IFERROR(INDEX(Scores!$N$2:$N$300,$N24),"")</f>
        <v>50</v>
      </c>
      <c r="I24" s="17" t="n">
        <f aca="false">IFERROR(INDEX(Scores!$O$2:$O$300,$N24),"")</f>
        <v>90</v>
      </c>
      <c r="J24" s="17" t="n">
        <f aca="false">IFERROR(INDEX(Scores!$P$2:$P$300,$N24),"")</f>
        <v>10</v>
      </c>
      <c r="K24" s="16" t="n">
        <f aca="false">IFERROR(INDEX(Scores!$E$2:$E$300,$N24),"")</f>
        <v>54.7863247863248</v>
      </c>
      <c r="L24" s="16" t="n">
        <f aca="false">IF(w_haz+w_risk&lt;=0,"",IF(AND(OR(w_haz=0,ISNUMBER(F24)),OR(w_risk=0,ISNUMBER(K24))),(w_haz*N(F24)+w_risk*N(K24))/(w_haz*ISNUMBER(F24)+w_risk*ISNUMBER(K24)),IF(ISNUMBER(F24),"needs Human Risk",IF(ISNUMBER(K24),"needs Venom Hazard","needs both"))))</f>
        <v>56.8872579550182</v>
      </c>
      <c r="M24" s="13" t="n">
        <f aca="false">IF(ISNUMBER(L24),RANK(L24,$L$2:$L$300),"")</f>
        <v>25</v>
      </c>
      <c r="N24" s="18" t="n">
        <f aca="false">IFERROR(MATCH($A24,Scores!$A$2:$A$300,0),"")</f>
        <v>39</v>
      </c>
      <c r="O24" s="18" t="n">
        <f aca="false">IFERROR(MATCH($A24,Species!$A$2:$A$300,0),"")</f>
        <v>24</v>
      </c>
    </row>
    <row r="25" customFormat="false" ht="15" hidden="false" customHeight="true" outlineLevel="0" collapsed="false">
      <c r="A25" s="13" t="s">
        <v>33</v>
      </c>
      <c r="B25" s="13" t="str">
        <f aca="false">IFERROR(INDEX(Species!$B$2:$B$300,$O25),"NOT IN SPECIES")</f>
        <v>Philippine cobra</v>
      </c>
      <c r="C25" s="13" t="str">
        <f aca="false">IFERROR(INDEX(Species!$C$2:$C$300,$O25)&amp;"","")</f>
        <v>Northern Philippine cobra</v>
      </c>
      <c r="D25" s="14" t="n">
        <f aca="false">IFERROR(INDEX(Species!$G$2:$G$300,$O25),"")</f>
        <v>0.14</v>
      </c>
      <c r="E25" s="15" t="n">
        <f aca="false">IFERROR(INDEX(Species!$L$2:$L$300,$O25),"")</f>
        <v>100</v>
      </c>
      <c r="F25" s="16" t="n">
        <f aca="false">IFERROR(INDEX(Scores!$C$2:$C$300,$N25),"")</f>
        <v>71.9475067204296</v>
      </c>
      <c r="G25" s="17" t="n">
        <f aca="false">IFERROR(INDEX(Scores!$M$2:$M$300,$N25),"")</f>
        <v>63.3333333333333</v>
      </c>
      <c r="H25" s="17" t="n">
        <f aca="false">IFERROR(INDEX(Scores!$N$2:$N$300,$N25),"")</f>
        <v>50</v>
      </c>
      <c r="I25" s="17" t="n">
        <f aca="false">IFERROR(INDEX(Scores!$O$2:$O$300,$N25),"")</f>
        <v>10</v>
      </c>
      <c r="J25" s="17" t="n">
        <f aca="false">IFERROR(INDEX(Scores!$P$2:$P$300,$N25),"")</f>
        <v>30</v>
      </c>
      <c r="K25" s="16" t="n">
        <f aca="false">IFERROR(INDEX(Scores!$E$2:$E$300,$N25),"")</f>
        <v>42.8205128205128</v>
      </c>
      <c r="L25" s="16" t="n">
        <f aca="false">IF(w_haz+w_risk&lt;=0,"",IF(AND(OR(w_haz=0,ISNUMBER(F25)),OR(w_risk=0,ISNUMBER(K25))),(w_haz*N(F25)+w_risk*N(K25))/(w_haz*ISNUMBER(F25)+w_risk*ISNUMBER(K25)),IF(ISNUMBER(F25),"needs Human Risk",IF(ISNUMBER(K25),"needs Venom Hazard","needs both"))))</f>
        <v>57.3840097704712</v>
      </c>
      <c r="M25" s="13" t="n">
        <f aca="false">IF(ISNUMBER(L25),RANK(L25,$L$2:$L$300),"")</f>
        <v>23</v>
      </c>
      <c r="N25" s="18" t="n">
        <f aca="false">IFERROR(MATCH($A25,Scores!$A$2:$A$300,0),"")</f>
        <v>16</v>
      </c>
      <c r="O25" s="18" t="n">
        <f aca="false">IFERROR(MATCH($A25,Species!$A$2:$A$300,0),"")</f>
        <v>13</v>
      </c>
    </row>
    <row r="26" customFormat="false" ht="15" hidden="false" customHeight="true" outlineLevel="0" collapsed="false">
      <c r="A26" s="13" t="s">
        <v>62</v>
      </c>
      <c r="B26" s="13" t="str">
        <f aca="false">IFERROR(INDEX(Species!$B$2:$B$300,$O26),"NOT IN SPECIES")</f>
        <v>Cantil</v>
      </c>
      <c r="C26" s="13" t="str">
        <f aca="false">IFERROR(INDEX(Species!$C$2:$C$300,$O26)&amp;"","")</f>
        <v>Mexican moccasin</v>
      </c>
      <c r="D26" s="14" t="n">
        <f aca="false">IFERROR(INDEX(Species!$G$2:$G$300,$O26),"")</f>
        <v>0.8</v>
      </c>
      <c r="E26" s="15" t="n">
        <f aca="false">IFERROR(INDEX(Species!$L$2:$L$300,$O26),"")</f>
        <v>95</v>
      </c>
      <c r="F26" s="16" t="n">
        <f aca="false">IFERROR(INDEX(Scores!$C$2:$C$300,$N26),"")</f>
        <v>55.6985961486888</v>
      </c>
      <c r="G26" s="17" t="n">
        <f aca="false">IFERROR(INDEX(Scores!$M$2:$M$300,$N26),"")</f>
        <v>54.4444444444444</v>
      </c>
      <c r="H26" s="17" t="n">
        <f aca="false">IFERROR(INDEX(Scores!$N$2:$N$300,$N26),"")</f>
        <v>70</v>
      </c>
      <c r="I26" s="17" t="n">
        <f aca="false">IFERROR(INDEX(Scores!$O$2:$O$300,$N26),"")</f>
        <v>70</v>
      </c>
      <c r="J26" s="17" t="n">
        <f aca="false">IFERROR(INDEX(Scores!$P$2:$P$300,$N26),"")</f>
        <v>30</v>
      </c>
      <c r="K26" s="16" t="n">
        <f aca="false">IFERROR(INDEX(Scores!$E$2:$E$300,$N26),"")</f>
        <v>57.8632478632479</v>
      </c>
      <c r="L26" s="16" t="n">
        <f aca="false">IF(w_haz+w_risk&lt;=0,"",IF(AND(OR(w_haz=0,ISNUMBER(F26)),OR(w_risk=0,ISNUMBER(K26))),(w_haz*N(F26)+w_risk*N(K26))/(w_haz*ISNUMBER(F26)+w_risk*ISNUMBER(K26)),IF(ISNUMBER(F26),"needs Human Risk",IF(ISNUMBER(K26),"needs Venom Hazard","needs both"))))</f>
        <v>56.7809220059683</v>
      </c>
      <c r="M26" s="13" t="n">
        <f aca="false">IF(ISNUMBER(L26),RANK(L26,$L$2:$L$300),"")</f>
        <v>26</v>
      </c>
      <c r="N26" s="18" t="n">
        <f aca="false">IFERROR(MATCH($A26,Scores!$A$2:$A$300,0),"")</f>
        <v>45</v>
      </c>
      <c r="O26" s="18" t="n">
        <f aca="false">IFERROR(MATCH($A26,Species!$A$2:$A$300,0),"")</f>
        <v>32</v>
      </c>
    </row>
    <row r="27" customFormat="false" ht="15" hidden="false" customHeight="true" outlineLevel="0" collapsed="false">
      <c r="A27" s="13" t="s">
        <v>34</v>
      </c>
      <c r="B27" s="13" t="str">
        <f aca="false">IFERROR(INDEX(Species!$B$2:$B$300,$O27),"NOT IN SPECIES")</f>
        <v>Neotropical rattlesnake</v>
      </c>
      <c r="C27" s="13" t="str">
        <f aca="false">IFERROR(INDEX(Species!$C$2:$C$300,$O27)&amp;"","")</f>
        <v>South American rattlesnake; Cascavel</v>
      </c>
      <c r="D27" s="14" t="n">
        <f aca="false">IFERROR(INDEX(Species!$G$2:$G$300,$O27),"")</f>
        <v>0.17</v>
      </c>
      <c r="E27" s="15" t="n">
        <f aca="false">IFERROR(INDEX(Species!$L$2:$L$300,$O27),"")</f>
        <v>100</v>
      </c>
      <c r="F27" s="16" t="n">
        <f aca="false">IFERROR(INDEX(Scores!$C$2:$C$300,$N27),"")</f>
        <v>70.1762865194064</v>
      </c>
      <c r="G27" s="17" t="n">
        <f aca="false">IFERROR(INDEX(Scores!$M$2:$M$300,$N27),"")</f>
        <v>54.4444444444444</v>
      </c>
      <c r="H27" s="17" t="n">
        <f aca="false">IFERROR(INDEX(Scores!$N$2:$N$300,$N27),"")</f>
        <v>50</v>
      </c>
      <c r="I27" s="17" t="n">
        <f aca="false">IFERROR(INDEX(Scores!$O$2:$O$300,$N27),"")</f>
        <v>30</v>
      </c>
      <c r="J27" s="17" t="n">
        <f aca="false">IFERROR(INDEX(Scores!$P$2:$P$300,$N27),"")</f>
        <v>30</v>
      </c>
      <c r="K27" s="16" t="n">
        <f aca="false">IFERROR(INDEX(Scores!$E$2:$E$300,$N27),"")</f>
        <v>44.017094017094</v>
      </c>
      <c r="L27" s="16" t="n">
        <f aca="false">IF(w_haz+w_risk&lt;=0,"",IF(AND(OR(w_haz=0,ISNUMBER(F27)),OR(w_risk=0,ISNUMBER(K27))),(w_haz*N(F27)+w_risk*N(K27))/(w_haz*ISNUMBER(F27)+w_risk*ISNUMBER(K27)),IF(ISNUMBER(F27),"needs Human Risk",IF(ISNUMBER(K27),"needs Venom Hazard","needs both"))))</f>
        <v>57.0966902682502</v>
      </c>
      <c r="M27" s="13" t="n">
        <f aca="false">IF(ISNUMBER(L27),RANK(L27,$L$2:$L$300),"")</f>
        <v>24</v>
      </c>
      <c r="N27" s="18" t="n">
        <f aca="false">IFERROR(MATCH($A27,Scores!$A$2:$A$300,0),"")</f>
        <v>17</v>
      </c>
      <c r="O27" s="18" t="n">
        <f aca="false">IFERROR(MATCH($A27,Species!$A$2:$A$300,0),"")</f>
        <v>16</v>
      </c>
    </row>
    <row r="28" customFormat="false" ht="15" hidden="false" customHeight="true" outlineLevel="0" collapsed="false">
      <c r="A28" s="13" t="s">
        <v>37</v>
      </c>
      <c r="B28" s="13" t="str">
        <f aca="false">IFERROR(INDEX(Species!$B$2:$B$300,$O28),"NOT IN SPECIES")</f>
        <v>Rinkhals</v>
      </c>
      <c r="C28" s="13" t="str">
        <f aca="false">IFERROR(INDEX(Species!$C$2:$C$300,$O28)&amp;"","")</f>
        <v>Ring-necked spitting cobra</v>
      </c>
      <c r="D28" s="14" t="n">
        <f aca="false">IFERROR(INDEX(Species!$G$2:$G$300,$O28),"")</f>
        <v>0.22</v>
      </c>
      <c r="E28" s="15" t="n">
        <f aca="false">IFERROR(INDEX(Species!$L$2:$L$300,$O28),"")</f>
        <v>120</v>
      </c>
      <c r="F28" s="16" t="n">
        <f aca="false">IFERROR(INDEX(Scores!$C$2:$C$300,$N28),"")</f>
        <v>69.0625336047115</v>
      </c>
      <c r="G28" s="17" t="n">
        <f aca="false">IFERROR(INDEX(Scores!$M$2:$M$300,$N28),"")</f>
        <v>54.4444444444444</v>
      </c>
      <c r="H28" s="17" t="n">
        <f aca="false">IFERROR(INDEX(Scores!$N$2:$N$300,$N28),"")</f>
        <v>50</v>
      </c>
      <c r="I28" s="17" t="n">
        <f aca="false">IFERROR(INDEX(Scores!$O$2:$O$300,$N28),"")</f>
        <v>30</v>
      </c>
      <c r="J28" s="17" t="n">
        <f aca="false">IFERROR(INDEX(Scores!$P$2:$P$300,$N28),"")</f>
        <v>30</v>
      </c>
      <c r="K28" s="16" t="n">
        <f aca="false">IFERROR(INDEX(Scores!$E$2:$E$300,$N28),"")</f>
        <v>44.017094017094</v>
      </c>
      <c r="L28" s="16" t="n">
        <f aca="false">IF(w_haz+w_risk&lt;=0,"",IF(AND(OR(w_haz=0,ISNUMBER(F28)),OR(w_risk=0,ISNUMBER(K28))),(w_haz*N(F28)+w_risk*N(K28))/(w_haz*ISNUMBER(F28)+w_risk*ISNUMBER(K28)),IF(ISNUMBER(F28),"needs Human Risk",IF(ISNUMBER(K28),"needs Venom Hazard","needs both"))))</f>
        <v>56.5398138109028</v>
      </c>
      <c r="M28" s="13" t="n">
        <f aca="false">IF(ISNUMBER(L28),RANK(L28,$L$2:$L$300),"")</f>
        <v>27</v>
      </c>
      <c r="N28" s="18" t="n">
        <f aca="false">IFERROR(MATCH($A28,Scores!$A$2:$A$300,0),"")</f>
        <v>20</v>
      </c>
      <c r="O28" s="18" t="n">
        <f aca="false">IFERROR(MATCH($A28,Species!$A$2:$A$300,0),"")</f>
        <v>54</v>
      </c>
    </row>
    <row r="29" customFormat="false" ht="15" hidden="false" customHeight="true" outlineLevel="0" collapsed="false">
      <c r="A29" s="13" t="s">
        <v>46</v>
      </c>
      <c r="B29" s="13" t="str">
        <f aca="false">IFERROR(INDEX(Species!$B$2:$B$300,$O29),"NOT IN SPECIES")</f>
        <v>Chinese cobra</v>
      </c>
      <c r="C29" s="13" t="str">
        <f aca="false">IFERROR(INDEX(Species!$C$2:$C$300,$O29)&amp;"","")</f>
        <v>Taiwan cobra; Formosan cobra</v>
      </c>
      <c r="D29" s="14" t="n">
        <f aca="false">IFERROR(INDEX(Species!$G$2:$G$300,$O29),"")</f>
        <v>0.6</v>
      </c>
      <c r="E29" s="15" t="n">
        <f aca="false">IFERROR(INDEX(Species!$L$2:$L$300,$O29),"")</f>
        <v>250</v>
      </c>
      <c r="F29" s="16" t="n">
        <f aca="false">IFERROR(INDEX(Scores!$C$2:$C$300,$N29),"")</f>
        <v>64.8948940439711</v>
      </c>
      <c r="G29" s="17" t="n">
        <f aca="false">IFERROR(INDEX(Scores!$M$2:$M$300,$N29),"")</f>
        <v>63.3333333333333</v>
      </c>
      <c r="H29" s="17" t="n">
        <f aca="false">IFERROR(INDEX(Scores!$N$2:$N$300,$N29),"")</f>
        <v>50</v>
      </c>
      <c r="I29" s="17" t="n">
        <f aca="false">IFERROR(INDEX(Scores!$O$2:$O$300,$N29),"")</f>
        <v>30</v>
      </c>
      <c r="J29" s="17" t="n">
        <f aca="false">IFERROR(INDEX(Scores!$P$2:$P$300,$N29),"")</f>
        <v>30</v>
      </c>
      <c r="K29" s="16" t="n">
        <f aca="false">IFERROR(INDEX(Scores!$E$2:$E$300,$N29),"")</f>
        <v>47.4358974358974</v>
      </c>
      <c r="L29" s="16" t="n">
        <f aca="false">IF(w_haz+w_risk&lt;=0,"",IF(AND(OR(w_haz=0,ISNUMBER(F29)),OR(w_risk=0,ISNUMBER(K29))),(w_haz*N(F29)+w_risk*N(K29))/(w_haz*ISNUMBER(F29)+w_risk*ISNUMBER(K29)),IF(ISNUMBER(F29),"needs Human Risk",IF(ISNUMBER(K29),"needs Venom Hazard","needs both"))))</f>
        <v>56.1653957399343</v>
      </c>
      <c r="M29" s="13" t="n">
        <f aca="false">IF(ISNUMBER(L29),RANK(L29,$L$2:$L$300),"")</f>
        <v>29</v>
      </c>
      <c r="N29" s="18" t="n">
        <f aca="false">IFERROR(MATCH($A29,Scores!$A$2:$A$300,0),"")</f>
        <v>29</v>
      </c>
      <c r="O29" s="18" t="n">
        <f aca="false">IFERROR(MATCH($A29,Species!$A$2:$A$300,0),"")</f>
        <v>74</v>
      </c>
    </row>
    <row r="30" customFormat="false" ht="15" hidden="false" customHeight="true" outlineLevel="0" collapsed="false">
      <c r="A30" s="13" t="s">
        <v>50</v>
      </c>
      <c r="B30" s="13" t="str">
        <f aca="false">IFERROR(INDEX(Species!$B$2:$B$300,$O30),"NOT IN SPECIES")</f>
        <v>Common European viper</v>
      </c>
      <c r="C30" s="13" t="str">
        <f aca="false">IFERROR(INDEX(Species!$C$2:$C$300,$O30)&amp;"","")</f>
        <v>European adder; Common adder</v>
      </c>
      <c r="D30" s="14" t="n">
        <f aca="false">IFERROR(INDEX(Species!$G$2:$G$300,$O30),"")</f>
        <v>0.11</v>
      </c>
      <c r="E30" s="15" t="n">
        <f aca="false">IFERROR(INDEX(Species!$L$2:$L$300,$O30),"")</f>
        <v>18</v>
      </c>
      <c r="F30" s="16" t="n">
        <f aca="false">IFERROR(INDEX(Scores!$C$2:$C$300,$N30),"")</f>
        <v>62.5005652388948</v>
      </c>
      <c r="G30" s="17" t="n">
        <f aca="false">IFERROR(INDEX(Scores!$M$2:$M$300,$N30),"")</f>
        <v>54.4444444444444</v>
      </c>
      <c r="H30" s="17" t="n">
        <f aca="false">IFERROR(INDEX(Scores!$N$2:$N$300,$N30),"")</f>
        <v>30</v>
      </c>
      <c r="I30" s="17" t="n">
        <f aca="false">IFERROR(INDEX(Scores!$O$2:$O$300,$N30),"")</f>
        <v>90</v>
      </c>
      <c r="J30" s="17" t="n">
        <f aca="false">IFERROR(INDEX(Scores!$P$2:$P$300,$N30),"")</f>
        <v>10</v>
      </c>
      <c r="K30" s="16" t="n">
        <f aca="false">IFERROR(INDEX(Scores!$E$2:$E$300,$N30),"")</f>
        <v>50.1709401709402</v>
      </c>
      <c r="L30" s="16" t="n">
        <f aca="false">IF(w_haz+w_risk&lt;=0,"",IF(AND(OR(w_haz=0,ISNUMBER(F30)),OR(w_risk=0,ISNUMBER(K30))),(w_haz*N(F30)+w_risk*N(K30))/(w_haz*ISNUMBER(F30)+w_risk*ISNUMBER(K30)),IF(ISNUMBER(F30),"needs Human Risk",IF(ISNUMBER(K30),"needs Venom Hazard","needs both"))))</f>
        <v>56.3357527049175</v>
      </c>
      <c r="M30" s="13" t="n">
        <f aca="false">IF(ISNUMBER(L30),RANK(L30,$L$2:$L$300),"")</f>
        <v>28</v>
      </c>
      <c r="N30" s="18" t="n">
        <f aca="false">IFERROR(MATCH($A30,Scores!$A$2:$A$300,0),"")</f>
        <v>33</v>
      </c>
      <c r="O30" s="18" t="n">
        <f aca="false">IFERROR(MATCH($A30,Species!$A$2:$A$300,0),"")</f>
        <v>29</v>
      </c>
    </row>
    <row r="31" customFormat="false" ht="15" hidden="false" customHeight="true" outlineLevel="0" collapsed="false">
      <c r="A31" s="13" t="s">
        <v>75</v>
      </c>
      <c r="B31" s="13" t="str">
        <f aca="false">IFERROR(INDEX(Species!$B$2:$B$300,$O31),"NOT IN SPECIES")</f>
        <v>Malayan pit viper</v>
      </c>
      <c r="C31" s="13" t="str">
        <f aca="false">IFERROR(INDEX(Species!$C$2:$C$300,$O31)&amp;"","")</f>
        <v/>
      </c>
      <c r="D31" s="14" t="n">
        <f aca="false">IFERROR(INDEX(Species!$G$2:$G$300,$O31),"")</f>
        <v>1.24</v>
      </c>
      <c r="E31" s="15" t="n">
        <f aca="false">IFERROR(INDEX(Species!$L$2:$L$300,$O31),"")</f>
        <v>60</v>
      </c>
      <c r="F31" s="16" t="n">
        <f aca="false">IFERROR(INDEX(Scores!$C$2:$C$300,$N31),"")</f>
        <v>48.5793807624144</v>
      </c>
      <c r="G31" s="17" t="n">
        <f aca="false">IFERROR(INDEX(Scores!$M$2:$M$300,$N31),"")</f>
        <v>54.4444444444444</v>
      </c>
      <c r="H31" s="17" t="n">
        <f aca="false">IFERROR(INDEX(Scores!$N$2:$N$300,$N31),"")</f>
        <v>70</v>
      </c>
      <c r="I31" s="17" t="n">
        <f aca="false">IFERROR(INDEX(Scores!$O$2:$O$300,$N31),"")</f>
        <v>90</v>
      </c>
      <c r="J31" s="17" t="n">
        <f aca="false">IFERROR(INDEX(Scores!$P$2:$P$300,$N31),"")</f>
        <v>30</v>
      </c>
      <c r="K31" s="16" t="n">
        <f aca="false">IFERROR(INDEX(Scores!$E$2:$E$300,$N31),"")</f>
        <v>62.4786324786325</v>
      </c>
      <c r="L31" s="16" t="n">
        <f aca="false">IF(w_haz+w_risk&lt;=0,"",IF(AND(OR(w_haz=0,ISNUMBER(F31)),OR(w_risk=0,ISNUMBER(K31))),(w_haz*N(F31)+w_risk*N(K31))/(w_haz*ISNUMBER(F31)+w_risk*ISNUMBER(K31)),IF(ISNUMBER(F31),"needs Human Risk",IF(ISNUMBER(K31),"needs Venom Hazard","needs both"))))</f>
        <v>55.5290066205234</v>
      </c>
      <c r="M31" s="13" t="n">
        <f aca="false">IF(ISNUMBER(L31),RANK(L31,$L$2:$L$300),"")</f>
        <v>33</v>
      </c>
      <c r="N31" s="18" t="n">
        <f aca="false">IFERROR(MATCH($A31,Scores!$A$2:$A$300,0),"")</f>
        <v>58</v>
      </c>
      <c r="O31" s="18" t="n">
        <f aca="false">IFERROR(MATCH($A31,Species!$A$2:$A$300,0),"")</f>
        <v>42</v>
      </c>
    </row>
    <row r="32" customFormat="false" ht="15" hidden="false" customHeight="true" outlineLevel="0" collapsed="false">
      <c r="A32" s="13" t="s">
        <v>59</v>
      </c>
      <c r="B32" s="13" t="str">
        <f aca="false">IFERROR(INDEX(Species!$B$2:$B$300,$O32),"NOT IN SPECIES")</f>
        <v>Ottoman viper</v>
      </c>
      <c r="C32" s="13" t="str">
        <f aca="false">IFERROR(INDEX(Species!$C$2:$C$300,$O32)&amp;"","")</f>
        <v>Rock viper; Coastal viper</v>
      </c>
      <c r="D32" s="14" t="n">
        <f aca="false">IFERROR(INDEX(Species!$G$2:$G$300,$O32),"")</f>
        <v>0.2</v>
      </c>
      <c r="E32" s="15" t="n">
        <f aca="false">IFERROR(INDEX(Species!$L$2:$L$300,$O32),"")</f>
        <v>18</v>
      </c>
      <c r="F32" s="16" t="n">
        <f aca="false">IFERROR(INDEX(Scores!$C$2:$C$300,$N32),"")</f>
        <v>57.0466987918189</v>
      </c>
      <c r="G32" s="17" t="n">
        <f aca="false">IFERROR(INDEX(Scores!$M$2:$M$300,$N32),"")</f>
        <v>45.5555555555556</v>
      </c>
      <c r="H32" s="17" t="n">
        <f aca="false">IFERROR(INDEX(Scores!$N$2:$N$300,$N32),"")</f>
        <v>50</v>
      </c>
      <c r="I32" s="17" t="n">
        <f aca="false">IFERROR(INDEX(Scores!$O$2:$O$300,$N32),"")</f>
        <v>90</v>
      </c>
      <c r="J32" s="17" t="n">
        <f aca="false">IFERROR(INDEX(Scores!$P$2:$P$300,$N32),"")</f>
        <v>30</v>
      </c>
      <c r="K32" s="16" t="n">
        <f aca="false">IFERROR(INDEX(Scores!$E$2:$E$300,$N32),"")</f>
        <v>54.4444444444444</v>
      </c>
      <c r="L32" s="16" t="n">
        <f aca="false">IF(w_haz+w_risk&lt;=0,"",IF(AND(OR(w_haz=0,ISNUMBER(F32)),OR(w_risk=0,ISNUMBER(K32))),(w_haz*N(F32)+w_risk*N(K32))/(w_haz*ISNUMBER(F32)+w_risk*ISNUMBER(K32)),IF(ISNUMBER(F32),"needs Human Risk",IF(ISNUMBER(K32),"needs Venom Hazard","needs both"))))</f>
        <v>55.7455716181317</v>
      </c>
      <c r="M32" s="13" t="n">
        <f aca="false">IF(ISNUMBER(L32),RANK(L32,$L$2:$L$300),"")</f>
        <v>30</v>
      </c>
      <c r="N32" s="18" t="n">
        <f aca="false">IFERROR(MATCH($A32,Scores!$A$2:$A$300,0),"")</f>
        <v>42</v>
      </c>
      <c r="O32" s="18" t="n">
        <f aca="false">IFERROR(MATCH($A32,Species!$A$2:$A$300,0),"")</f>
        <v>36</v>
      </c>
    </row>
    <row r="33" customFormat="false" ht="15" hidden="false" customHeight="true" outlineLevel="0" collapsed="false">
      <c r="A33" s="13" t="s">
        <v>36</v>
      </c>
      <c r="B33" s="13" t="str">
        <f aca="false">IFERROR(INDEX(Species!$B$2:$B$300,$O33),"NOT IN SPECIES")</f>
        <v>Desert horned viper</v>
      </c>
      <c r="C33" s="13" t="str">
        <f aca="false">IFERROR(INDEX(Species!$C$2:$C$300,$O33)&amp;"","")</f>
        <v>Saharan horned viper</v>
      </c>
      <c r="D33" s="14" t="n">
        <f aca="false">IFERROR(INDEX(Species!$G$2:$G$300,$O33),"")</f>
        <v>0.1</v>
      </c>
      <c r="E33" s="15" t="n">
        <f aca="false">IFERROR(INDEX(Species!$L$2:$L$300,$O33),"")</f>
        <v>45</v>
      </c>
      <c r="F33" s="16" t="n">
        <f aca="false">IFERROR(INDEX(Scores!$C$2:$C$300,$N33),"")</f>
        <v>69.59353269512</v>
      </c>
      <c r="G33" s="17" t="n">
        <f aca="false">IFERROR(INDEX(Scores!$M$2:$M$300,$N33),"")</f>
        <v>36.6666666666667</v>
      </c>
      <c r="H33" s="17" t="n">
        <f aca="false">IFERROR(INDEX(Scores!$N$2:$N$300,$N33),"")</f>
        <v>30</v>
      </c>
      <c r="I33" s="17" t="n">
        <f aca="false">IFERROR(INDEX(Scores!$O$2:$O$300,$N33),"")</f>
        <v>70</v>
      </c>
      <c r="J33" s="17" t="n">
        <f aca="false">IFERROR(INDEX(Scores!$P$2:$P$300,$N33),"")</f>
        <v>30</v>
      </c>
      <c r="K33" s="16" t="n">
        <f aca="false">IFERROR(INDEX(Scores!$E$2:$E$300,$N33),"")</f>
        <v>41.7948717948718</v>
      </c>
      <c r="L33" s="16" t="n">
        <f aca="false">IF(w_haz+w_risk&lt;=0,"",IF(AND(OR(w_haz=0,ISNUMBER(F33)),OR(w_risk=0,ISNUMBER(K33))),(w_haz*N(F33)+w_risk*N(K33))/(w_haz*ISNUMBER(F33)+w_risk*ISNUMBER(K33)),IF(ISNUMBER(F33),"needs Human Risk",IF(ISNUMBER(K33),"needs Venom Hazard","needs both"))))</f>
        <v>55.6942022449959</v>
      </c>
      <c r="M33" s="13" t="n">
        <f aca="false">IF(ISNUMBER(L33),RANK(L33,$L$2:$L$300),"")</f>
        <v>31</v>
      </c>
      <c r="N33" s="18" t="n">
        <f aca="false">IFERROR(MATCH($A33,Scores!$A$2:$A$300,0),"")</f>
        <v>19</v>
      </c>
      <c r="O33" s="18" t="n">
        <f aca="false">IFERROR(MATCH($A33,Species!$A$2:$A$300,0),"")</f>
        <v>20</v>
      </c>
    </row>
    <row r="34" customFormat="false" ht="15" hidden="false" customHeight="true" outlineLevel="0" collapsed="false">
      <c r="A34" s="13" t="s">
        <v>32</v>
      </c>
      <c r="B34" s="13" t="str">
        <f aca="false">IFERROR(INDEX(Species!$B$2:$B$300,$O34),"NOT IN SPECIES")</f>
        <v>Mojave rattlesnake</v>
      </c>
      <c r="C34" s="13" t="str">
        <f aca="false">IFERROR(INDEX(Species!$C$2:$C$300,$O34)&amp;"","")</f>
        <v>Mohave green</v>
      </c>
      <c r="D34" s="14" t="n">
        <f aca="false">IFERROR(INDEX(Species!$G$2:$G$300,$O34),"")</f>
        <v>0.18</v>
      </c>
      <c r="E34" s="15" t="n">
        <f aca="false">IFERROR(INDEX(Species!$L$2:$L$300,$O34),"")</f>
        <v>150</v>
      </c>
      <c r="F34" s="16" t="n">
        <f aca="false">IFERROR(INDEX(Scores!$C$2:$C$300,$N34),"")</f>
        <v>72.4087853106901</v>
      </c>
      <c r="G34" s="17" t="n">
        <f aca="false">IFERROR(INDEX(Scores!$M$2:$M$300,$N34),"")</f>
        <v>36.6666666666667</v>
      </c>
      <c r="H34" s="17" t="n">
        <f aca="false">IFERROR(INDEX(Scores!$N$2:$N$300,$N34),"")</f>
        <v>50</v>
      </c>
      <c r="I34" s="17" t="n">
        <f aca="false">IFERROR(INDEX(Scores!$O$2:$O$300,$N34),"")</f>
        <v>50</v>
      </c>
      <c r="J34" s="17" t="n">
        <f aca="false">IFERROR(INDEX(Scores!$P$2:$P$300,$N34),"")</f>
        <v>10</v>
      </c>
      <c r="K34" s="16" t="n">
        <f aca="false">IFERROR(INDEX(Scores!$E$2:$E$300,$N34),"")</f>
        <v>38.7179487179487</v>
      </c>
      <c r="L34" s="16" t="n">
        <f aca="false">IF(w_haz+w_risk&lt;=0,"",IF(AND(OR(w_haz=0,ISNUMBER(F34)),OR(w_risk=0,ISNUMBER(K34))),(w_haz*N(F34)+w_risk*N(K34))/(w_haz*ISNUMBER(F34)+w_risk*ISNUMBER(K34)),IF(ISNUMBER(F34),"needs Human Risk",IF(ISNUMBER(K34),"needs Venom Hazard","needs both"))))</f>
        <v>55.5633670143194</v>
      </c>
      <c r="M34" s="13" t="n">
        <f aca="false">IF(ISNUMBER(L34),RANK(L34,$L$2:$L$300),"")</f>
        <v>32</v>
      </c>
      <c r="N34" s="18" t="n">
        <f aca="false">IFERROR(MATCH($A34,Scores!$A$2:$A$300,0),"")</f>
        <v>15</v>
      </c>
      <c r="O34" s="18" t="n">
        <f aca="false">IFERROR(MATCH($A34,Species!$A$2:$A$300,0),"")</f>
        <v>12</v>
      </c>
    </row>
    <row r="35" customFormat="false" ht="15" hidden="false" customHeight="true" outlineLevel="0" collapsed="false">
      <c r="A35" s="13" t="s">
        <v>73</v>
      </c>
      <c r="B35" s="13" t="str">
        <f aca="false">IFERROR(INDEX(Species!$B$2:$B$300,$O35),"NOT IN SPECIES")</f>
        <v>White-lipped pit viper</v>
      </c>
      <c r="C35" s="13" t="str">
        <f aca="false">IFERROR(INDEX(Species!$C$2:$C$300,$O35)&amp;"","")</f>
        <v>White-lipped tree viper</v>
      </c>
      <c r="D35" s="14" t="n">
        <f aca="false">IFERROR(INDEX(Species!$G$2:$G$300,$O35),"")</f>
        <v>0.37</v>
      </c>
      <c r="E35" s="15" t="n">
        <f aca="false">IFERROR(INDEX(Species!$L$2:$L$300,$O35),"")</f>
        <v>15</v>
      </c>
      <c r="F35" s="16" t="n">
        <f aca="false">IFERROR(INDEX(Scores!$C$2:$C$300,$N35),"")</f>
        <v>50.1962309606559</v>
      </c>
      <c r="G35" s="17" t="n">
        <f aca="false">IFERROR(INDEX(Scores!$M$2:$M$300,$N35),"")</f>
        <v>54.4444444444444</v>
      </c>
      <c r="H35" s="17" t="str">
        <f aca="false">IFERROR(INDEX(Scores!$N$2:$N$300,$N35),"")</f>
        <v/>
      </c>
      <c r="I35" s="17" t="n">
        <f aca="false">IFERROR(INDEX(Scores!$O$2:$O$300,$N35),"")</f>
        <v>90</v>
      </c>
      <c r="J35" s="17" t="n">
        <f aca="false">IFERROR(INDEX(Scores!$P$2:$P$300,$N35),"")</f>
        <v>30</v>
      </c>
      <c r="K35" s="16" t="n">
        <f aca="false">IFERROR(INDEX(Scores!$E$2:$E$300,$N35),"")</f>
        <v>60.2222222222222</v>
      </c>
      <c r="L35" s="16" t="n">
        <f aca="false">IF(w_haz+w_risk&lt;=0,"",IF(AND(OR(w_haz=0,ISNUMBER(F35)),OR(w_risk=0,ISNUMBER(K35))),(w_haz*N(F35)+w_risk*N(K35))/(w_haz*ISNUMBER(F35)+w_risk*ISNUMBER(K35)),IF(ISNUMBER(F35),"needs Human Risk",IF(ISNUMBER(K35),"needs Venom Hazard","needs both"))))</f>
        <v>55.2092265914391</v>
      </c>
      <c r="M35" s="13" t="n">
        <f aca="false">IF(ISNUMBER(L35),RANK(L35,$L$2:$L$300),"")</f>
        <v>34</v>
      </c>
      <c r="N35" s="18" t="n">
        <f aca="false">IFERROR(MATCH($A35,Scores!$A$2:$A$300,0),"")</f>
        <v>56</v>
      </c>
      <c r="O35" s="18" t="n">
        <f aca="false">IFERROR(MATCH($A35,Species!$A$2:$A$300,0),"")</f>
        <v>65</v>
      </c>
    </row>
    <row r="36" customFormat="false" ht="15" hidden="false" customHeight="true" outlineLevel="0" collapsed="false">
      <c r="A36" s="13" t="s">
        <v>111</v>
      </c>
      <c r="B36" s="13" t="str">
        <f aca="false">IFERROR(INDEX(Species!$B$2:$B$300,$O36),"NOT IN SPECIES")</f>
        <v>Nose-horned viper</v>
      </c>
      <c r="C36" s="13" t="str">
        <f aca="false">IFERROR(INDEX(Species!$C$2:$C$300,$O36)&amp;"","")</f>
        <v>Horned viper; Sand viper</v>
      </c>
      <c r="D36" s="14" t="n">
        <f aca="false">IFERROR(INDEX(Species!$G$2:$G$300,$O36),"")</f>
        <v>0.48</v>
      </c>
      <c r="E36" s="15" t="n">
        <f aca="false">IFERROR(INDEX(Species!$L$2:$L$300,$O36),"")</f>
        <v>45</v>
      </c>
      <c r="F36" s="16" t="n">
        <f aca="false">IFERROR(INDEX(Scores!$C$2:$C$300,$N36),"")</f>
        <v>55.2835757800301</v>
      </c>
      <c r="G36" s="17" t="n">
        <f aca="false">IFERROR(INDEX(Scores!$M$2:$M$300,$N36),"")</f>
        <v>54.4444444444444</v>
      </c>
      <c r="H36" s="17" t="n">
        <f aca="false">IFERROR(INDEX(Scores!$N$2:$N$300,$N36),"")</f>
        <v>50</v>
      </c>
      <c r="I36" s="17" t="n">
        <f aca="false">IFERROR(INDEX(Scores!$O$2:$O$300,$N36),"")</f>
        <v>90</v>
      </c>
      <c r="J36" s="17" t="n">
        <f aca="false">IFERROR(INDEX(Scores!$P$2:$P$300,$N36),"")</f>
        <v>10</v>
      </c>
      <c r="K36" s="16" t="n">
        <f aca="false">IFERROR(INDEX(Scores!$E$2:$E$300,$N36),"")</f>
        <v>54.7863247863248</v>
      </c>
      <c r="L36" s="16" t="n">
        <f aca="false">IF(w_haz+w_risk&lt;=0,"",IF(AND(OR(w_haz=0,ISNUMBER(F36)),OR(w_risk=0,ISNUMBER(K36))),(w_haz*N(F36)+w_risk*N(K36))/(w_haz*ISNUMBER(F36)+w_risk*ISNUMBER(K36)),IF(ISNUMBER(F36),"needs Human Risk",IF(ISNUMBER(K36),"needs Venom Hazard","needs both"))))</f>
        <v>55.0349502831775</v>
      </c>
      <c r="M36" s="13" t="n">
        <f aca="false">IF(ISNUMBER(L36),RANK(L36,$L$2:$L$300),"")</f>
        <v>35</v>
      </c>
      <c r="N36" s="18" t="n">
        <f aca="false">IFERROR(MATCH($A36,Scores!$A$2:$A$300,0),"")</f>
        <v>94</v>
      </c>
      <c r="O36" s="18" t="n">
        <f aca="false">IFERROR(MATCH($A36,Species!$A$2:$A$300,0),"")</f>
        <v>88</v>
      </c>
    </row>
    <row r="37" customFormat="false" ht="15" hidden="false" customHeight="true" outlineLevel="0" collapsed="false">
      <c r="A37" s="13" t="s">
        <v>23</v>
      </c>
      <c r="B37" s="13" t="str">
        <f aca="false">IFERROR(INDEX(Species!$B$2:$B$300,$O37),"NOT IN SPECIES")</f>
        <v>Hook-nosed sea snake</v>
      </c>
      <c r="C37" s="13" t="str">
        <f aca="false">IFERROR(INDEX(Species!$C$2:$C$300,$O37)&amp;"","")</f>
        <v>Beaked sea snake; Common sea snake</v>
      </c>
      <c r="D37" s="14" t="n">
        <f aca="false">IFERROR(INDEX(Species!$G$2:$G$300,$O37),"")</f>
        <v>0.164</v>
      </c>
      <c r="E37" s="15" t="n">
        <f aca="false">IFERROR(INDEX(Species!$L$2:$L$300,$O37),"")</f>
        <v>79</v>
      </c>
      <c r="F37" s="16" t="n">
        <f aca="false">IFERROR(INDEX(Scores!$C$2:$C$300,$N37),"")</f>
        <v>68.9030463227903</v>
      </c>
      <c r="G37" s="17" t="n">
        <f aca="false">IFERROR(INDEX(Scores!$M$2:$M$300,$N37),"")</f>
        <v>10</v>
      </c>
      <c r="H37" s="17" t="n">
        <f aca="false">IFERROR(INDEX(Scores!$N$2:$N$300,$N37),"")</f>
        <v>10</v>
      </c>
      <c r="I37" s="17" t="n">
        <f aca="false">IFERROR(INDEX(Scores!$O$2:$O$300,$N37),"")</f>
        <v>50</v>
      </c>
      <c r="J37" s="17" t="n">
        <f aca="false">IFERROR(INDEX(Scores!$P$2:$P$300,$N37),"")</f>
        <v>50</v>
      </c>
      <c r="K37" s="16" t="n">
        <f aca="false">IFERROR(INDEX(Scores!$E$2:$E$300,$N37),"")</f>
        <v>25.3846153846154</v>
      </c>
      <c r="L37" s="16" t="n">
        <f aca="false">IF(w_haz+w_risk&lt;=0,"",IF(AND(OR(w_haz=0,ISNUMBER(F37)),OR(w_risk=0,ISNUMBER(K37))),(w_haz*N(F37)+w_risk*N(K37))/(w_haz*ISNUMBER(F37)+w_risk*ISNUMBER(K37)),IF(ISNUMBER(F37),"needs Human Risk",IF(ISNUMBER(K37),"needs Venom Hazard","needs both"))))</f>
        <v>47.1438308537029</v>
      </c>
      <c r="M37" s="13" t="n">
        <f aca="false">IF(ISNUMBER(L37),RANK(L37,$L$2:$L$300),"")</f>
        <v>55</v>
      </c>
      <c r="N37" s="18" t="n">
        <f aca="false">IFERROR(MATCH($A37,Scores!$A$2:$A$300,0),"")</f>
        <v>6</v>
      </c>
      <c r="O37" s="18" t="n">
        <f aca="false">IFERROR(MATCH($A37,Species!$A$2:$A$300,0),"")</f>
        <v>4</v>
      </c>
    </row>
    <row r="38" customFormat="false" ht="15" hidden="false" customHeight="true" outlineLevel="0" collapsed="false">
      <c r="A38" s="13" t="s">
        <v>53</v>
      </c>
      <c r="B38" s="13" t="str">
        <f aca="false">IFERROR(INDEX(Species!$B$2:$B$300,$O38),"NOT IN SPECIES")</f>
        <v>Western rattlesnake</v>
      </c>
      <c r="C38" s="13" t="str">
        <f aca="false">IFERROR(INDEX(Species!$C$2:$C$300,$O38)&amp;"","")</f>
        <v>Northern Pacific rattlesnake</v>
      </c>
      <c r="D38" s="14" t="n">
        <f aca="false">IFERROR(INDEX(Species!$G$2:$G$300,$O38),"")</f>
        <v>1.01</v>
      </c>
      <c r="E38" s="15" t="n">
        <f aca="false">IFERROR(INDEX(Species!$L$2:$L$300,$O38),"")</f>
        <v>250</v>
      </c>
      <c r="F38" s="16" t="n">
        <f aca="false">IFERROR(INDEX(Scores!$C$2:$C$300,$N38),"")</f>
        <v>60.1440296750018</v>
      </c>
      <c r="G38" s="17" t="n">
        <f aca="false">IFERROR(INDEX(Scores!$M$2:$M$300,$N38),"")</f>
        <v>45.5555555555556</v>
      </c>
      <c r="H38" s="17" t="n">
        <f aca="false">IFERROR(INDEX(Scores!$N$2:$N$300,$N38),"")</f>
        <v>50</v>
      </c>
      <c r="I38" s="17" t="n">
        <f aca="false">IFERROR(INDEX(Scores!$O$2:$O$300,$N38),"")</f>
        <v>70</v>
      </c>
      <c r="J38" s="17" t="n">
        <f aca="false">IFERROR(INDEX(Scores!$P$2:$P$300,$N38),"")</f>
        <v>10</v>
      </c>
      <c r="K38" s="16" t="n">
        <f aca="false">IFERROR(INDEX(Scores!$E$2:$E$300,$N38),"")</f>
        <v>46.7521367521368</v>
      </c>
      <c r="L38" s="16" t="n">
        <f aca="false">IF(w_haz+w_risk&lt;=0,"",IF(AND(OR(w_haz=0,ISNUMBER(F38)),OR(w_risk=0,ISNUMBER(K38))),(w_haz*N(F38)+w_risk*N(K38))/(w_haz*ISNUMBER(F38)+w_risk*ISNUMBER(K38)),IF(ISNUMBER(F38),"needs Human Risk",IF(ISNUMBER(K38),"needs Venom Hazard","needs both"))))</f>
        <v>53.4480832135692</v>
      </c>
      <c r="M38" s="13" t="n">
        <f aca="false">IF(ISNUMBER(L38),RANK(L38,$L$2:$L$300),"")</f>
        <v>37</v>
      </c>
      <c r="N38" s="18" t="n">
        <f aca="false">IFERROR(MATCH($A38,Scores!$A$2:$A$300,0),"")</f>
        <v>36</v>
      </c>
      <c r="O38" s="18" t="n">
        <f aca="false">IFERROR(MATCH($A38,Species!$A$2:$A$300,0),"")</f>
        <v>25</v>
      </c>
    </row>
    <row r="39" customFormat="false" ht="15" hidden="false" customHeight="true" outlineLevel="0" collapsed="false">
      <c r="A39" s="13" t="s">
        <v>105</v>
      </c>
      <c r="B39" s="13" t="str">
        <f aca="false">IFERROR(INDEX(Species!$B$2:$B$300,$O39),"NOT IN SPECIES")</f>
        <v>Papuan black snake</v>
      </c>
      <c r="C39" s="13" t="str">
        <f aca="false">IFERROR(INDEX(Species!$C$2:$C$300,$O39)&amp;"","")</f>
        <v/>
      </c>
      <c r="D39" s="14" t="n">
        <f aca="false">IFERROR(INDEX(Species!$G$2:$G$300,$O39),"")</f>
        <v>1.09</v>
      </c>
      <c r="E39" s="15" t="n">
        <f aca="false">IFERROR(INDEX(Species!$L$2:$L$300,$O39),"")</f>
        <v>494</v>
      </c>
      <c r="F39" s="16" t="n">
        <f aca="false">IFERROR(INDEX(Scores!$C$2:$C$300,$N39),"")</f>
        <v>64.0745199116528</v>
      </c>
      <c r="G39" s="17" t="n">
        <f aca="false">IFERROR(INDEX(Scores!$M$2:$M$300,$N39),"")</f>
        <v>18.8888888888889</v>
      </c>
      <c r="H39" s="17" t="n">
        <f aca="false">IFERROR(INDEX(Scores!$N$2:$N$300,$N39),"")</f>
        <v>50</v>
      </c>
      <c r="I39" s="17" t="n">
        <f aca="false">IFERROR(INDEX(Scores!$O$2:$O$300,$N39),"")</f>
        <v>30</v>
      </c>
      <c r="J39" s="17" t="n">
        <f aca="false">IFERROR(INDEX(Scores!$P$2:$P$300,$N39),"")</f>
        <v>50</v>
      </c>
      <c r="K39" s="16" t="n">
        <f aca="false">IFERROR(INDEX(Scores!$E$2:$E$300,$N39),"")</f>
        <v>33.4188034188034</v>
      </c>
      <c r="L39" s="16" t="n">
        <f aca="false">IF(w_haz+w_risk&lt;=0,"",IF(AND(OR(w_haz=0,ISNUMBER(F39)),OR(w_risk=0,ISNUMBER(K39))),(w_haz*N(F39)+w_risk*N(K39))/(w_haz*ISNUMBER(F39)+w_risk*ISNUMBER(K39)),IF(ISNUMBER(F39),"needs Human Risk",IF(ISNUMBER(K39),"needs Venom Hazard","needs both"))))</f>
        <v>48.7466616652281</v>
      </c>
      <c r="M39" s="13" t="n">
        <f aca="false">IF(ISNUMBER(L39),RANK(L39,$L$2:$L$300),"")</f>
        <v>48</v>
      </c>
      <c r="N39" s="18" t="n">
        <f aca="false">IFERROR(MATCH($A39,Scores!$A$2:$A$300,0),"")</f>
        <v>88</v>
      </c>
      <c r="O39" s="18" t="n">
        <f aca="false">IFERROR(MATCH($A39,Species!$A$2:$A$300,0),"")</f>
        <v>91</v>
      </c>
    </row>
    <row r="40" customFormat="false" ht="15" hidden="false" customHeight="true" outlineLevel="0" collapsed="false">
      <c r="A40" s="13" t="s">
        <v>41</v>
      </c>
      <c r="B40" s="13" t="str">
        <f aca="false">IFERROR(INDEX(Species!$B$2:$B$300,$O40),"NOT IN SPECIES")</f>
        <v>Common death adder</v>
      </c>
      <c r="C40" s="13" t="str">
        <f aca="false">IFERROR(INDEX(Species!$C$2:$C$300,$O40)&amp;"","")</f>
        <v/>
      </c>
      <c r="D40" s="14" t="n">
        <f aca="false">IFERROR(INDEX(Species!$G$2:$G$300,$O40),"")</f>
        <v>0.4</v>
      </c>
      <c r="E40" s="15" t="n">
        <f aca="false">IFERROR(INDEX(Species!$L$2:$L$300,$O40),"")</f>
        <v>236</v>
      </c>
      <c r="F40" s="16" t="n">
        <f aca="false">IFERROR(INDEX(Scores!$C$2:$C$300,$N40),"")</f>
        <v>68.2023969103177</v>
      </c>
      <c r="G40" s="17" t="n">
        <f aca="false">IFERROR(INDEX(Scores!$M$2:$M$300,$N40),"")</f>
        <v>36.6666666666667</v>
      </c>
      <c r="H40" s="17" t="n">
        <f aca="false">IFERROR(INDEX(Scores!$N$2:$N$300,$N40),"")</f>
        <v>70</v>
      </c>
      <c r="I40" s="17" t="n">
        <f aca="false">IFERROR(INDEX(Scores!$O$2:$O$300,$N40),"")</f>
        <v>30</v>
      </c>
      <c r="J40" s="17" t="n">
        <f aca="false">IFERROR(INDEX(Scores!$P$2:$P$300,$N40),"")</f>
        <v>10</v>
      </c>
      <c r="K40" s="16" t="n">
        <f aca="false">IFERROR(INDEX(Scores!$E$2:$E$300,$N40),"")</f>
        <v>38.7179487179487</v>
      </c>
      <c r="L40" s="16" t="n">
        <f aca="false">IF(w_haz+w_risk&lt;=0,"",IF(AND(OR(w_haz=0,ISNUMBER(F40)),OR(w_risk=0,ISNUMBER(K40))),(w_haz*N(F40)+w_risk*N(K40))/(w_haz*ISNUMBER(F40)+w_risk*ISNUMBER(K40)),IF(ISNUMBER(F40),"needs Human Risk",IF(ISNUMBER(K40),"needs Venom Hazard","needs both"))))</f>
        <v>53.4601728141332</v>
      </c>
      <c r="M40" s="13" t="n">
        <f aca="false">IF(ISNUMBER(L40),RANK(L40,$L$2:$L$300),"")</f>
        <v>36</v>
      </c>
      <c r="N40" s="18" t="n">
        <f aca="false">IFERROR(MATCH($A40,Scores!$A$2:$A$300,0),"")</f>
        <v>24</v>
      </c>
      <c r="O40" s="18" t="n">
        <f aca="false">IFERROR(MATCH($A40,Species!$A$2:$A$300,0),"")</f>
        <v>21</v>
      </c>
    </row>
    <row r="41" customFormat="false" ht="15" hidden="false" customHeight="true" outlineLevel="0" collapsed="false">
      <c r="A41" s="13" t="s">
        <v>49</v>
      </c>
      <c r="B41" s="13" t="str">
        <f aca="false">IFERROR(INDEX(Species!$B$2:$B$300,$O41),"NOT IN SPECIES")</f>
        <v>Rhinoceros viper</v>
      </c>
      <c r="C41" s="13" t="str">
        <f aca="false">IFERROR(INDEX(Species!$C$2:$C$300,$O41)&amp;"","")</f>
        <v>River jack; Horned puff adder</v>
      </c>
      <c r="D41" s="14" t="n">
        <f aca="false">IFERROR(INDEX(Species!$G$2:$G$300,$O41),"")</f>
        <v>0.6</v>
      </c>
      <c r="E41" s="15" t="n">
        <f aca="false">IFERROR(INDEX(Species!$L$2:$L$300,$O41),"")</f>
        <v>200</v>
      </c>
      <c r="F41" s="16" t="n">
        <f aca="false">IFERROR(INDEX(Scores!$C$2:$C$300,$N41),"")</f>
        <v>63.3792937889886</v>
      </c>
      <c r="G41" s="17" t="n">
        <f aca="false">IFERROR(INDEX(Scores!$M$2:$M$300,$N41),"")</f>
        <v>27.7777777777778</v>
      </c>
      <c r="H41" s="17" t="n">
        <f aca="false">IFERROR(INDEX(Scores!$N$2:$N$300,$N41),"")</f>
        <v>30</v>
      </c>
      <c r="I41" s="17" t="n">
        <f aca="false">IFERROR(INDEX(Scores!$O$2:$O$300,$N41),"")</f>
        <v>90</v>
      </c>
      <c r="J41" s="17" t="n">
        <f aca="false">IFERROR(INDEX(Scores!$P$2:$P$300,$N41),"")</f>
        <v>30</v>
      </c>
      <c r="K41" s="16" t="n">
        <f aca="false">IFERROR(INDEX(Scores!$E$2:$E$300,$N41),"")</f>
        <v>42.991452991453</v>
      </c>
      <c r="L41" s="16" t="n">
        <f aca="false">IF(w_haz+w_risk&lt;=0,"",IF(AND(OR(w_haz=0,ISNUMBER(F41)),OR(w_risk=0,ISNUMBER(K41))),(w_haz*N(F41)+w_risk*N(K41))/(w_haz*ISNUMBER(F41)+w_risk*ISNUMBER(K41)),IF(ISNUMBER(F41),"needs Human Risk",IF(ISNUMBER(K41),"needs Venom Hazard","needs both"))))</f>
        <v>53.1853733902208</v>
      </c>
      <c r="M41" s="13" t="n">
        <f aca="false">IF(ISNUMBER(L41),RANK(L41,$L$2:$L$300),"")</f>
        <v>38</v>
      </c>
      <c r="N41" s="18" t="n">
        <f aca="false">IFERROR(MATCH($A41,Scores!$A$2:$A$300,0),"")</f>
        <v>32</v>
      </c>
      <c r="O41" s="18" t="n">
        <f aca="false">IFERROR(MATCH($A41,Species!$A$2:$A$300,0),"")</f>
        <v>22</v>
      </c>
    </row>
    <row r="42" customFormat="false" ht="15" hidden="false" customHeight="true" outlineLevel="0" collapsed="false">
      <c r="A42" s="13" t="s">
        <v>77</v>
      </c>
      <c r="B42" s="13" t="str">
        <f aca="false">IFERROR(INDEX(Species!$B$2:$B$300,$O42),"NOT IN SPECIES")</f>
        <v>Urutu</v>
      </c>
      <c r="C42" s="13" t="str">
        <f aca="false">IFERROR(INDEX(Species!$C$2:$C$300,$O42)&amp;"","")</f>
        <v>Crossed pit viper</v>
      </c>
      <c r="D42" s="14" t="n">
        <f aca="false">IFERROR(INDEX(Species!$G$2:$G$300,$O42),"")</f>
        <v>2</v>
      </c>
      <c r="E42" s="15" t="n">
        <f aca="false">IFERROR(INDEX(Species!$L$2:$L$300,$O42),"")</f>
        <v>100</v>
      </c>
      <c r="F42" s="16" t="n">
        <f aca="false">IFERROR(INDEX(Scores!$C$2:$C$300,$N42),"")</f>
        <v>47.6879693027949</v>
      </c>
      <c r="G42" s="17" t="n">
        <f aca="false">IFERROR(INDEX(Scores!$M$2:$M$300,$N42),"")</f>
        <v>54.4444444444444</v>
      </c>
      <c r="H42" s="17" t="n">
        <f aca="false">IFERROR(INDEX(Scores!$N$2:$N$300,$N42),"")</f>
        <v>50</v>
      </c>
      <c r="I42" s="17" t="n">
        <f aca="false">IFERROR(INDEX(Scores!$O$2:$O$300,$N42),"")</f>
        <v>90</v>
      </c>
      <c r="J42" s="17" t="n">
        <f aca="false">IFERROR(INDEX(Scores!$P$2:$P$300,$N42),"")</f>
        <v>30</v>
      </c>
      <c r="K42" s="16" t="n">
        <f aca="false">IFERROR(INDEX(Scores!$E$2:$E$300,$N42),"")</f>
        <v>57.8632478632479</v>
      </c>
      <c r="L42" s="16" t="n">
        <f aca="false">IF(w_haz+w_risk&lt;=0,"",IF(AND(OR(w_haz=0,ISNUMBER(F42)),OR(w_risk=0,ISNUMBER(K42))),(w_haz*N(F42)+w_risk*N(K42))/(w_haz*ISNUMBER(F42)+w_risk*ISNUMBER(K42)),IF(ISNUMBER(F42),"needs Human Risk",IF(ISNUMBER(K42),"needs Venom Hazard","needs both"))))</f>
        <v>52.7756085830214</v>
      </c>
      <c r="M42" s="13" t="n">
        <f aca="false">IF(ISNUMBER(L42),RANK(L42,$L$2:$L$300),"")</f>
        <v>39</v>
      </c>
      <c r="N42" s="18" t="n">
        <f aca="false">IFERROR(MATCH($A42,Scores!$A$2:$A$300,0),"")</f>
        <v>60</v>
      </c>
      <c r="O42" s="18" t="n">
        <f aca="false">IFERROR(MATCH($A42,Species!$A$2:$A$300,0),"")</f>
        <v>41</v>
      </c>
    </row>
    <row r="43" customFormat="false" ht="15" hidden="false" customHeight="true" outlineLevel="0" collapsed="false">
      <c r="A43" s="13" t="s">
        <v>57</v>
      </c>
      <c r="B43" s="13" t="str">
        <f aca="false">IFERROR(INDEX(Species!$B$2:$B$300,$O43),"NOT IN SPECIES")</f>
        <v>Mulga snake</v>
      </c>
      <c r="C43" s="13" t="str">
        <f aca="false">IFERROR(INDEX(Species!$C$2:$C$300,$O43)&amp;"","")</f>
        <v>King brown snake; Pilbara cobra</v>
      </c>
      <c r="D43" s="14" t="n">
        <f aca="false">IFERROR(INDEX(Species!$G$2:$G$300,$O43),"")</f>
        <v>2.38</v>
      </c>
      <c r="E43" s="15" t="n">
        <f aca="false">IFERROR(INDEX(Species!$L$2:$L$300,$O43),"")</f>
        <v>600</v>
      </c>
      <c r="F43" s="16" t="n">
        <f aca="false">IFERROR(INDEX(Scores!$C$2:$C$300,$N43),"")</f>
        <v>58.2707562495959</v>
      </c>
      <c r="G43" s="17" t="n">
        <f aca="false">IFERROR(INDEX(Scores!$M$2:$M$300,$N43),"")</f>
        <v>54.4444444444444</v>
      </c>
      <c r="H43" s="17" t="n">
        <f aca="false">IFERROR(INDEX(Scores!$N$2:$N$300,$N43),"")</f>
        <v>30</v>
      </c>
      <c r="I43" s="17" t="n">
        <f aca="false">IFERROR(INDEX(Scores!$O$2:$O$300,$N43),"")</f>
        <v>70</v>
      </c>
      <c r="J43" s="17" t="n">
        <f aca="false">IFERROR(INDEX(Scores!$P$2:$P$300,$N43),"")</f>
        <v>10</v>
      </c>
      <c r="K43" s="16" t="n">
        <f aca="false">IFERROR(INDEX(Scores!$E$2:$E$300,$N43),"")</f>
        <v>45.5555555555556</v>
      </c>
      <c r="L43" s="16" t="n">
        <f aca="false">IF(w_haz+w_risk&lt;=0,"",IF(AND(OR(w_haz=0,ISNUMBER(F43)),OR(w_risk=0,ISNUMBER(K43))),(w_haz*N(F43)+w_risk*N(K43))/(w_haz*ISNUMBER(F43)+w_risk*ISNUMBER(K43)),IF(ISNUMBER(F43),"needs Human Risk",IF(ISNUMBER(K43),"needs Venom Hazard","needs both"))))</f>
        <v>51.9131559025757</v>
      </c>
      <c r="M43" s="13" t="n">
        <f aca="false">IF(ISNUMBER(L43),RANK(L43,$L$2:$L$300),"")</f>
        <v>40</v>
      </c>
      <c r="N43" s="18" t="n">
        <f aca="false">IFERROR(MATCH($A43,Scores!$A$2:$A$300,0),"")</f>
        <v>40</v>
      </c>
      <c r="O43" s="18" t="n">
        <f aca="false">IFERROR(MATCH($A43,Species!$A$2:$A$300,0),"")</f>
        <v>72</v>
      </c>
    </row>
    <row r="44" customFormat="false" ht="15" hidden="false" customHeight="true" outlineLevel="0" collapsed="false">
      <c r="A44" s="13" t="s">
        <v>70</v>
      </c>
      <c r="B44" s="13" t="str">
        <f aca="false">IFERROR(INDEX(Species!$B$2:$B$300,$O44),"NOT IN SPECIES")</f>
        <v>Cottonmouth</v>
      </c>
      <c r="C44" s="13" t="str">
        <f aca="false">IFERROR(INDEX(Species!$C$2:$C$300,$O44)&amp;"","")</f>
        <v>Water moccasin</v>
      </c>
      <c r="D44" s="14" t="n">
        <f aca="false">IFERROR(INDEX(Species!$G$2:$G$300,$O44),"")</f>
        <v>2.04</v>
      </c>
      <c r="E44" s="15" t="n">
        <f aca="false">IFERROR(INDEX(Species!$L$2:$L$300,$O44),"")</f>
        <v>170</v>
      </c>
      <c r="F44" s="16" t="n">
        <f aca="false">IFERROR(INDEX(Scores!$C$2:$C$300,$N44),"")</f>
        <v>51.1113656636666</v>
      </c>
      <c r="G44" s="17" t="n">
        <f aca="false">IFERROR(INDEX(Scores!$M$2:$M$300,$N44),"")</f>
        <v>45.5555555555556</v>
      </c>
      <c r="H44" s="17" t="n">
        <f aca="false">IFERROR(INDEX(Scores!$N$2:$N$300,$N44),"")</f>
        <v>50</v>
      </c>
      <c r="I44" s="17" t="n">
        <f aca="false">IFERROR(INDEX(Scores!$O$2:$O$300,$N44),"")</f>
        <v>90</v>
      </c>
      <c r="J44" s="17" t="n">
        <f aca="false">IFERROR(INDEX(Scores!$P$2:$P$300,$N44),"")</f>
        <v>10</v>
      </c>
      <c r="K44" s="16" t="n">
        <f aca="false">IFERROR(INDEX(Scores!$E$2:$E$300,$N44),"")</f>
        <v>51.3675213675214</v>
      </c>
      <c r="L44" s="16" t="n">
        <f aca="false">IF(w_haz+w_risk&lt;=0,"",IF(AND(OR(w_haz=0,ISNUMBER(F44)),OR(w_risk=0,ISNUMBER(K44))),(w_haz*N(F44)+w_risk*N(K44))/(w_haz*ISNUMBER(F44)+w_risk*ISNUMBER(K44)),IF(ISNUMBER(F44),"needs Human Risk",IF(ISNUMBER(K44),"needs Venom Hazard","needs both"))))</f>
        <v>51.239443515594</v>
      </c>
      <c r="M44" s="13" t="n">
        <f aca="false">IF(ISNUMBER(L44),RANK(L44,$L$2:$L$300),"")</f>
        <v>43</v>
      </c>
      <c r="N44" s="18" t="n">
        <f aca="false">IFERROR(MATCH($A44,Scores!$A$2:$A$300,0),"")</f>
        <v>53</v>
      </c>
      <c r="O44" s="18" t="n">
        <f aca="false">IFERROR(MATCH($A44,Species!$A$2:$A$300,0),"")</f>
        <v>37</v>
      </c>
    </row>
    <row r="45" customFormat="false" ht="15" hidden="false" customHeight="true" outlineLevel="0" collapsed="false">
      <c r="A45" s="13" t="s">
        <v>54</v>
      </c>
      <c r="B45" s="13" t="str">
        <f aca="false">IFERROR(INDEX(Species!$B$2:$B$300,$O45),"NOT IN SPECIES")</f>
        <v>Boomslang</v>
      </c>
      <c r="C45" s="13" t="str">
        <f aca="false">IFERROR(INDEX(Species!$C$2:$C$300,$O45)&amp;"","")</f>
        <v/>
      </c>
      <c r="D45" s="14" t="n">
        <f aca="false">IFERROR(INDEX(Species!$G$2:$G$300,$O45),"")</f>
        <v>0.07</v>
      </c>
      <c r="E45" s="15" t="n">
        <f aca="false">IFERROR(INDEX(Species!$L$2:$L$300,$O45),"")</f>
        <v>8</v>
      </c>
      <c r="F45" s="16" t="n">
        <f aca="false">IFERROR(INDEX(Scores!$C$2:$C$300,$N45),"")</f>
        <v>61.116002269462</v>
      </c>
      <c r="G45" s="17" t="n">
        <f aca="false">IFERROR(INDEX(Scores!$M$2:$M$300,$N45),"")</f>
        <v>18.8888888888889</v>
      </c>
      <c r="H45" s="17" t="n">
        <f aca="false">IFERROR(INDEX(Scores!$N$2:$N$300,$N45),"")</f>
        <v>30</v>
      </c>
      <c r="I45" s="17" t="n">
        <f aca="false">IFERROR(INDEX(Scores!$O$2:$O$300,$N45),"")</f>
        <v>90</v>
      </c>
      <c r="J45" s="17" t="n">
        <f aca="false">IFERROR(INDEX(Scores!$P$2:$P$300,$N45),"")</f>
        <v>50</v>
      </c>
      <c r="K45" s="16" t="n">
        <f aca="false">IFERROR(INDEX(Scores!$E$2:$E$300,$N45),"")</f>
        <v>42.6495726495727</v>
      </c>
      <c r="L45" s="16" t="n">
        <f aca="false">IF(w_haz+w_risk&lt;=0,"",IF(AND(OR(w_haz=0,ISNUMBER(F45)),OR(w_risk=0,ISNUMBER(K45))),(w_haz*N(F45)+w_risk*N(K45))/(w_haz*ISNUMBER(F45)+w_risk*ISNUMBER(K45)),IF(ISNUMBER(F45),"needs Human Risk",IF(ISNUMBER(K45),"needs Venom Hazard","needs both"))))</f>
        <v>51.8827874595173</v>
      </c>
      <c r="M45" s="13" t="n">
        <f aca="false">IF(ISNUMBER(L45),RANK(L45,$L$2:$L$300),"")</f>
        <v>41</v>
      </c>
      <c r="N45" s="18" t="n">
        <f aca="false">IFERROR(MATCH($A45,Scores!$A$2:$A$300,0),"")</f>
        <v>37</v>
      </c>
      <c r="O45" s="18" t="n">
        <f aca="false">IFERROR(MATCH($A45,Species!$A$2:$A$300,0),"")</f>
        <v>33</v>
      </c>
    </row>
    <row r="46" customFormat="false" ht="15" hidden="false" customHeight="true" outlineLevel="0" collapsed="false">
      <c r="A46" s="13" t="s">
        <v>45</v>
      </c>
      <c r="B46" s="13" t="str">
        <f aca="false">IFERROR(INDEX(Species!$B$2:$B$300,$O46),"NOT IN SPECIES")</f>
        <v>Eastern green mamba</v>
      </c>
      <c r="C46" s="13" t="str">
        <f aca="false">IFERROR(INDEX(Species!$C$2:$C$300,$O46)&amp;"","")</f>
        <v>Common green mamba</v>
      </c>
      <c r="D46" s="14" t="n">
        <f aca="false">IFERROR(INDEX(Species!$G$2:$G$300,$O46),"")</f>
        <v>0.26</v>
      </c>
      <c r="E46" s="15" t="n">
        <f aca="false">IFERROR(INDEX(Species!$L$2:$L$300,$O46),"")</f>
        <v>95</v>
      </c>
      <c r="F46" s="16" t="n">
        <f aca="false">IFERROR(INDEX(Scores!$C$2:$C$300,$N46),"")</f>
        <v>65.9518334612736</v>
      </c>
      <c r="G46" s="17" t="n">
        <f aca="false">IFERROR(INDEX(Scores!$M$2:$M$300,$N46),"")</f>
        <v>36.6666666666667</v>
      </c>
      <c r="H46" s="17" t="n">
        <f aca="false">IFERROR(INDEX(Scores!$N$2:$N$300,$N46),"")</f>
        <v>50</v>
      </c>
      <c r="I46" s="17" t="n">
        <f aca="false">IFERROR(INDEX(Scores!$O$2:$O$300,$N46),"")</f>
        <v>30</v>
      </c>
      <c r="J46" s="17" t="n">
        <f aca="false">IFERROR(INDEX(Scores!$P$2:$P$300,$N46),"")</f>
        <v>30</v>
      </c>
      <c r="K46" s="16" t="n">
        <f aca="false">IFERROR(INDEX(Scores!$E$2:$E$300,$N46),"")</f>
        <v>37.1794871794872</v>
      </c>
      <c r="L46" s="16" t="n">
        <f aca="false">IF(w_haz+w_risk&lt;=0,"",IF(AND(OR(w_haz=0,ISNUMBER(F46)),OR(w_risk=0,ISNUMBER(K46))),(w_haz*N(F46)+w_risk*N(K46))/(w_haz*ISNUMBER(F46)+w_risk*ISNUMBER(K46)),IF(ISNUMBER(F46),"needs Human Risk",IF(ISNUMBER(K46),"needs Venom Hazard","needs both"))))</f>
        <v>51.5656603203804</v>
      </c>
      <c r="M46" s="13" t="n">
        <f aca="false">IF(ISNUMBER(L46),RANK(L46,$L$2:$L$300),"")</f>
        <v>42</v>
      </c>
      <c r="N46" s="18" t="n">
        <f aca="false">IFERROR(MATCH($A46,Scores!$A$2:$A$300,0),"")</f>
        <v>28</v>
      </c>
      <c r="O46" s="18" t="n">
        <f aca="false">IFERROR(MATCH($A46,Species!$A$2:$A$300,0),"")</f>
        <v>53</v>
      </c>
    </row>
    <row r="47" customFormat="false" ht="15" hidden="false" customHeight="true" outlineLevel="0" collapsed="false">
      <c r="A47" s="13" t="s">
        <v>60</v>
      </c>
      <c r="B47" s="13" t="str">
        <f aca="false">IFERROR(INDEX(Species!$B$2:$B$300,$O47),"NOT IN SPECIES")</f>
        <v>Wagler's pit viper</v>
      </c>
      <c r="C47" s="13" t="str">
        <f aca="false">IFERROR(INDEX(Species!$C$2:$C$300,$O47)&amp;"","")</f>
        <v>Temple pit viper; Temple viper</v>
      </c>
      <c r="D47" s="14" t="n">
        <f aca="false">IFERROR(INDEX(Species!$G$2:$G$300,$O47),"")</f>
        <v>0.75</v>
      </c>
      <c r="E47" s="15" t="n">
        <f aca="false">IFERROR(INDEX(Species!$L$2:$L$300,$O47),"")</f>
        <v>90</v>
      </c>
      <c r="F47" s="16" t="n">
        <f aca="false">IFERROR(INDEX(Scores!$C$2:$C$300,$N47),"")</f>
        <v>55.9201326220042</v>
      </c>
      <c r="G47" s="17" t="n">
        <f aca="false">IFERROR(INDEX(Scores!$M$2:$M$300,$N47),"")</f>
        <v>36.6666666666667</v>
      </c>
      <c r="H47" s="17" t="n">
        <f aca="false">IFERROR(INDEX(Scores!$N$2:$N$300,$N47),"")</f>
        <v>30</v>
      </c>
      <c r="I47" s="17" t="n">
        <f aca="false">IFERROR(INDEX(Scores!$O$2:$O$300,$N47),"")</f>
        <v>90</v>
      </c>
      <c r="J47" s="17" t="n">
        <f aca="false">IFERROR(INDEX(Scores!$P$2:$P$300,$N47),"")</f>
        <v>30</v>
      </c>
      <c r="K47" s="16" t="n">
        <f aca="false">IFERROR(INDEX(Scores!$E$2:$E$300,$N47),"")</f>
        <v>46.4102564102564</v>
      </c>
      <c r="L47" s="16" t="n">
        <f aca="false">IF(w_haz+w_risk&lt;=0,"",IF(AND(OR(w_haz=0,ISNUMBER(F47)),OR(w_risk=0,ISNUMBER(K47))),(w_haz*N(F47)+w_risk*N(K47))/(w_haz*ISNUMBER(F47)+w_risk*ISNUMBER(K47)),IF(ISNUMBER(F47),"needs Human Risk",IF(ISNUMBER(K47),"needs Venom Hazard","needs both"))))</f>
        <v>51.1651945161303</v>
      </c>
      <c r="M47" s="13" t="n">
        <f aca="false">IF(ISNUMBER(L47),RANK(L47,$L$2:$L$300),"")</f>
        <v>44</v>
      </c>
      <c r="N47" s="18" t="n">
        <f aca="false">IFERROR(MATCH($A47,Scores!$A$2:$A$300,0),"")</f>
        <v>43</v>
      </c>
      <c r="O47" s="18" t="n">
        <f aca="false">IFERROR(MATCH($A47,Species!$A$2:$A$300,0),"")</f>
        <v>31</v>
      </c>
    </row>
    <row r="48" customFormat="false" ht="15" hidden="false" customHeight="true" outlineLevel="0" collapsed="false">
      <c r="A48" s="13" t="s">
        <v>66</v>
      </c>
      <c r="B48" s="13" t="str">
        <f aca="false">IFERROR(INDEX(Species!$B$2:$B$300,$O48),"NOT IN SPECIES")</f>
        <v>Malayan krait</v>
      </c>
      <c r="C48" s="13" t="str">
        <f aca="false">IFERROR(INDEX(Species!$C$2:$C$300,$O48)&amp;"","")</f>
        <v>Blue krait</v>
      </c>
      <c r="D48" s="14" t="n">
        <f aca="false">IFERROR(INDEX(Species!$G$2:$G$300,$O48),"")</f>
        <v>0.1</v>
      </c>
      <c r="E48" s="15" t="n">
        <f aca="false">IFERROR(INDEX(Species!$L$2:$L$300,$O48),"")</f>
        <v>5</v>
      </c>
      <c r="F48" s="16" t="n">
        <f aca="false">IFERROR(INDEX(Scores!$C$2:$C$300,$N48),"")</f>
        <v>54.6698922401224</v>
      </c>
      <c r="G48" s="17" t="n">
        <f aca="false">IFERROR(INDEX(Scores!$M$2:$M$300,$N48),"")</f>
        <v>63.3333333333333</v>
      </c>
      <c r="H48" s="17" t="n">
        <f aca="false">IFERROR(INDEX(Scores!$N$2:$N$300,$N48),"")</f>
        <v>50</v>
      </c>
      <c r="I48" s="17" t="n">
        <f aca="false">IFERROR(INDEX(Scores!$O$2:$O$300,$N48),"")</f>
        <v>30</v>
      </c>
      <c r="J48" s="17" t="n">
        <f aca="false">IFERROR(INDEX(Scores!$P$2:$P$300,$N48),"")</f>
        <v>30</v>
      </c>
      <c r="K48" s="16" t="n">
        <f aca="false">IFERROR(INDEX(Scores!$E$2:$E$300,$N48),"")</f>
        <v>47.4358974358974</v>
      </c>
      <c r="L48" s="16" t="n">
        <f aca="false">IF(w_haz+w_risk&lt;=0,"",IF(AND(OR(w_haz=0,ISNUMBER(F48)),OR(w_risk=0,ISNUMBER(K48))),(w_haz*N(F48)+w_risk*N(K48))/(w_haz*ISNUMBER(F48)+w_risk*ISNUMBER(K48)),IF(ISNUMBER(F48),"needs Human Risk",IF(ISNUMBER(K48),"needs Venom Hazard","needs both"))))</f>
        <v>51.0528948380099</v>
      </c>
      <c r="M48" s="13" t="n">
        <f aca="false">IF(ISNUMBER(L48),RANK(L48,$L$2:$L$300),"")</f>
        <v>45</v>
      </c>
      <c r="N48" s="18" t="n">
        <f aca="false">IFERROR(MATCH($A48,Scores!$A$2:$A$300,0),"")</f>
        <v>49</v>
      </c>
      <c r="O48" s="18" t="n">
        <f aca="false">IFERROR(MATCH($A48,Species!$A$2:$A$300,0),"")</f>
        <v>51</v>
      </c>
    </row>
    <row r="49" customFormat="false" ht="15" hidden="false" customHeight="true" outlineLevel="0" collapsed="false">
      <c r="A49" s="13" t="s">
        <v>20</v>
      </c>
      <c r="B49" s="13" t="str">
        <f aca="false">IFERROR(INDEX(Species!$B$2:$B$300,$O49),"NOT IN SPECIES")</f>
        <v>Inland taipan</v>
      </c>
      <c r="C49" s="13" t="str">
        <f aca="false">IFERROR(INDEX(Species!$C$2:$C$300,$O49)&amp;"","")</f>
        <v>Western taipan; Small-scaled snake; Fierce snake</v>
      </c>
      <c r="D49" s="14" t="n">
        <f aca="false">IFERROR(INDEX(Species!$G$2:$G$300,$O49),"")</f>
        <v>0.025</v>
      </c>
      <c r="E49" s="15" t="n">
        <f aca="false">IFERROR(INDEX(Species!$L$2:$L$300,$O49),"")</f>
        <v>110</v>
      </c>
      <c r="F49" s="16" t="n">
        <f aca="false">IFERROR(INDEX(Scores!$C$2:$C$300,$N49),"")</f>
        <v>84.3484085996372</v>
      </c>
      <c r="G49" s="17" t="n">
        <f aca="false">IFERROR(INDEX(Scores!$M$2:$M$300,$N49),"")</f>
        <v>10</v>
      </c>
      <c r="H49" s="17" t="n">
        <f aca="false">IFERROR(INDEX(Scores!$N$2:$N$300,$N49),"")</f>
        <v>30</v>
      </c>
      <c r="I49" s="17" t="n">
        <f aca="false">IFERROR(INDEX(Scores!$O$2:$O$300,$N49),"")</f>
        <v>10</v>
      </c>
      <c r="J49" s="17" t="n">
        <f aca="false">IFERROR(INDEX(Scores!$P$2:$P$300,$N49),"")</f>
        <v>10</v>
      </c>
      <c r="K49" s="16" t="n">
        <f aca="false">IFERROR(INDEX(Scores!$E$2:$E$300,$N49),"")</f>
        <v>14.6153846153846</v>
      </c>
      <c r="L49" s="16" t="n">
        <f aca="false">IF(w_haz+w_risk&lt;=0,"",IF(AND(OR(w_haz=0,ISNUMBER(F49)),OR(w_risk=0,ISNUMBER(K49))),(w_haz*N(F49)+w_risk*N(K49))/(w_haz*ISNUMBER(F49)+w_risk*ISNUMBER(K49)),IF(ISNUMBER(F49),"needs Human Risk",IF(ISNUMBER(K49),"needs Venom Hazard","needs both"))))</f>
        <v>49.4818966075109</v>
      </c>
      <c r="M49" s="13" t="n">
        <f aca="false">IF(ISNUMBER(L49),RANK(L49,$L$2:$L$300),"")</f>
        <v>46</v>
      </c>
      <c r="N49" s="18" t="n">
        <f aca="false">IFERROR(MATCH($A49,Scores!$A$2:$A$300,0),"")</f>
        <v>3</v>
      </c>
      <c r="O49" s="18" t="n">
        <f aca="false">IFERROR(MATCH($A49,Species!$A$2:$A$300,0),"")</f>
        <v>5</v>
      </c>
    </row>
    <row r="50" customFormat="false" ht="15" hidden="false" customHeight="true" outlineLevel="0" collapsed="false">
      <c r="A50" s="13" t="s">
        <v>82</v>
      </c>
      <c r="B50" s="13" t="str">
        <f aca="false">IFERROR(INDEX(Species!$B$2:$B$300,$O50),"NOT IN SPECIES")</f>
        <v>Jumping pit viper</v>
      </c>
      <c r="C50" s="13" t="str">
        <f aca="false">IFERROR(INDEX(Species!$C$2:$C$300,$O50)&amp;"","")</f>
        <v>Mexican jumping pit viper</v>
      </c>
      <c r="D50" s="14" t="n">
        <f aca="false">IFERROR(INDEX(Species!$G$2:$G$300,$O50),"")</f>
        <v>2.4</v>
      </c>
      <c r="E50" s="15" t="n">
        <f aca="false">IFERROR(INDEX(Species!$L$2:$L$300,$O50),"")</f>
        <v>60</v>
      </c>
      <c r="F50" s="16" t="n">
        <f aca="false">IFERROR(INDEX(Scores!$C$2:$C$300,$N50),"")</f>
        <v>42.5551620675373</v>
      </c>
      <c r="G50" s="17" t="n">
        <f aca="false">IFERROR(INDEX(Scores!$M$2:$M$300,$N50),"")</f>
        <v>36.6666666666667</v>
      </c>
      <c r="H50" s="17" t="n">
        <f aca="false">IFERROR(INDEX(Scores!$N$2:$N$300,$N50),"")</f>
        <v>70</v>
      </c>
      <c r="I50" s="17" t="n">
        <f aca="false">IFERROR(INDEX(Scores!$O$2:$O$300,$N50),"")</f>
        <v>90</v>
      </c>
      <c r="J50" s="17" t="n">
        <f aca="false">IFERROR(INDEX(Scores!$P$2:$P$300,$N50),"")</f>
        <v>30</v>
      </c>
      <c r="K50" s="16" t="n">
        <f aca="false">IFERROR(INDEX(Scores!$E$2:$E$300,$N50),"")</f>
        <v>55.6410256410256</v>
      </c>
      <c r="L50" s="16" t="n">
        <f aca="false">IF(w_haz+w_risk&lt;=0,"",IF(AND(OR(w_haz=0,ISNUMBER(F50)),OR(w_risk=0,ISNUMBER(K50))),(w_haz*N(F50)+w_risk*N(K50))/(w_haz*ISNUMBER(F50)+w_risk*ISNUMBER(K50)),IF(ISNUMBER(F50),"needs Human Risk",IF(ISNUMBER(K50),"needs Venom Hazard","needs both"))))</f>
        <v>49.0980938542815</v>
      </c>
      <c r="M50" s="13" t="n">
        <f aca="false">IF(ISNUMBER(L50),RANK(L50,$L$2:$L$300),"")</f>
        <v>47</v>
      </c>
      <c r="N50" s="18" t="n">
        <f aca="false">IFERROR(MATCH($A50,Scores!$A$2:$A$300,0),"")</f>
        <v>65</v>
      </c>
      <c r="O50" s="18" t="n">
        <f aca="false">IFERROR(MATCH($A50,Species!$A$2:$A$300,0),"")</f>
        <v>45</v>
      </c>
    </row>
    <row r="51" customFormat="false" ht="15" hidden="false" customHeight="true" outlineLevel="0" collapsed="false">
      <c r="A51" s="13" t="s">
        <v>69</v>
      </c>
      <c r="B51" s="13" t="str">
        <f aca="false">IFERROR(INDEX(Species!$B$2:$B$300,$O51),"NOT IN SPECIES")</f>
        <v>Atlantic bushmaster</v>
      </c>
      <c r="C51" s="13" t="str">
        <f aca="false">IFERROR(INDEX(Species!$C$2:$C$300,$O51)&amp;"","")</f>
        <v>South American bushmaster; Surucucu</v>
      </c>
      <c r="D51" s="14" t="n">
        <f aca="false">IFERROR(INDEX(Species!$G$2:$G$300,$O51),"")</f>
        <v>4.5</v>
      </c>
      <c r="E51" s="15" t="n">
        <f aca="false">IFERROR(INDEX(Species!$L$2:$L$300,$O51),"")</f>
        <v>500</v>
      </c>
      <c r="F51" s="16" t="n">
        <f aca="false">IFERROR(INDEX(Scores!$C$2:$C$300,$N51),"")</f>
        <v>51.2214939708553</v>
      </c>
      <c r="G51" s="17" t="n">
        <f aca="false">IFERROR(INDEX(Scores!$M$2:$M$300,$N51),"")</f>
        <v>27.7777777777778</v>
      </c>
      <c r="H51" s="17" t="n">
        <f aca="false">IFERROR(INDEX(Scores!$N$2:$N$300,$N51),"")</f>
        <v>50</v>
      </c>
      <c r="I51" s="17" t="n">
        <f aca="false">IFERROR(INDEX(Scores!$O$2:$O$300,$N51),"")</f>
        <v>70</v>
      </c>
      <c r="J51" s="17" t="n">
        <f aca="false">IFERROR(INDEX(Scores!$P$2:$P$300,$N51),"")</f>
        <v>50</v>
      </c>
      <c r="K51" s="16" t="n">
        <f aca="false">IFERROR(INDEX(Scores!$E$2:$E$300,$N51),"")</f>
        <v>46.0683760683761</v>
      </c>
      <c r="L51" s="16" t="n">
        <f aca="false">IF(w_haz+w_risk&lt;=0,"",IF(AND(OR(w_haz=0,ISNUMBER(F51)),OR(w_risk=0,ISNUMBER(K51))),(w_haz*N(F51)+w_risk*N(K51))/(w_haz*ISNUMBER(F51)+w_risk*ISNUMBER(K51)),IF(ISNUMBER(F51),"needs Human Risk",IF(ISNUMBER(K51),"needs Venom Hazard","needs both"))))</f>
        <v>48.6449350196157</v>
      </c>
      <c r="M51" s="13" t="n">
        <f aca="false">IF(ISNUMBER(L51),RANK(L51,$L$2:$L$300),"")</f>
        <v>49</v>
      </c>
      <c r="N51" s="18" t="n">
        <f aca="false">IFERROR(MATCH($A51,Scores!$A$2:$A$300,0),"")</f>
        <v>52</v>
      </c>
      <c r="O51" s="18" t="n">
        <f aca="false">IFERROR(MATCH($A51,Species!$A$2:$A$300,0),"")</f>
        <v>61</v>
      </c>
    </row>
    <row r="52" customFormat="false" ht="15" hidden="false" customHeight="true" outlineLevel="0" collapsed="false">
      <c r="A52" s="13" t="s">
        <v>68</v>
      </c>
      <c r="B52" s="13" t="str">
        <f aca="false">IFERROR(INDEX(Species!$B$2:$B$300,$O52),"NOT IN SPECIES")</f>
        <v>Red diamond rattlesnake</v>
      </c>
      <c r="C52" s="13" t="str">
        <f aca="false">IFERROR(INDEX(Species!$C$2:$C$300,$O52)&amp;"","")</f>
        <v/>
      </c>
      <c r="D52" s="14" t="n">
        <f aca="false">IFERROR(INDEX(Species!$G$2:$G$300,$O52),"")</f>
        <v>3.7</v>
      </c>
      <c r="E52" s="15" t="n">
        <f aca="false">IFERROR(INDEX(Species!$L$2:$L$300,$O52),"")</f>
        <v>450</v>
      </c>
      <c r="F52" s="16" t="n">
        <f aca="false">IFERROR(INDEX(Scores!$C$2:$C$300,$N52),"")</f>
        <v>52.2915931044851</v>
      </c>
      <c r="G52" s="17" t="n">
        <f aca="false">IFERROR(INDEX(Scores!$M$2:$M$300,$N52),"")</f>
        <v>36.6666666666667</v>
      </c>
      <c r="H52" s="17" t="n">
        <f aca="false">IFERROR(INDEX(Scores!$N$2:$N$300,$N52),"")</f>
        <v>30</v>
      </c>
      <c r="I52" s="17" t="n">
        <f aca="false">IFERROR(INDEX(Scores!$O$2:$O$300,$N52),"")</f>
        <v>90</v>
      </c>
      <c r="J52" s="17" t="n">
        <f aca="false">IFERROR(INDEX(Scores!$P$2:$P$300,$N52),"")</f>
        <v>10</v>
      </c>
      <c r="K52" s="16" t="n">
        <f aca="false">IFERROR(INDEX(Scores!$E$2:$E$300,$N52),"")</f>
        <v>43.3333333333333</v>
      </c>
      <c r="L52" s="16" t="n">
        <f aca="false">IF(w_haz+w_risk&lt;=0,"",IF(AND(OR(w_haz=0,ISNUMBER(F52)),OR(w_risk=0,ISNUMBER(K52))),(w_haz*N(F52)+w_risk*N(K52))/(w_haz*ISNUMBER(F52)+w_risk*ISNUMBER(K52)),IF(ISNUMBER(F52),"needs Human Risk",IF(ISNUMBER(K52),"needs Venom Hazard","needs both"))))</f>
        <v>47.8124632189092</v>
      </c>
      <c r="M52" s="13" t="n">
        <f aca="false">IF(ISNUMBER(L52),RANK(L52,$L$2:$L$300),"")</f>
        <v>50</v>
      </c>
      <c r="N52" s="18" t="n">
        <f aca="false">IFERROR(MATCH($A52,Scores!$A$2:$A$300,0),"")</f>
        <v>51</v>
      </c>
      <c r="O52" s="18" t="n">
        <f aca="false">IFERROR(MATCH($A52,Species!$A$2:$A$300,0),"")</f>
        <v>59</v>
      </c>
    </row>
    <row r="53" customFormat="false" ht="15" hidden="false" customHeight="true" outlineLevel="0" collapsed="false">
      <c r="A53" s="13" t="s">
        <v>90</v>
      </c>
      <c r="B53" s="13" t="str">
        <f aca="false">IFERROR(INDEX(Species!$B$2:$B$300,$O53),"NOT IN SPECIES")</f>
        <v>Copperhead</v>
      </c>
      <c r="C53" s="13" t="str">
        <f aca="false">IFERROR(INDEX(Species!$C$2:$C$300,$O53)&amp;"","")</f>
        <v>Eastern copperhead</v>
      </c>
      <c r="D53" s="14" t="n">
        <f aca="false">IFERROR(INDEX(Species!$G$2:$G$300,$O53),"")</f>
        <v>10.9</v>
      </c>
      <c r="E53" s="15" t="n">
        <f aca="false">IFERROR(INDEX(Species!$L$2:$L$300,$O53),"")</f>
        <v>75</v>
      </c>
      <c r="F53" s="16" t="n">
        <f aca="false">IFERROR(INDEX(Scores!$C$2:$C$300,$N53),"")</f>
        <v>31.7471093384351</v>
      </c>
      <c r="G53" s="17" t="n">
        <f aca="false">IFERROR(INDEX(Scores!$M$2:$M$300,$N53),"")</f>
        <v>63.3333333333333</v>
      </c>
      <c r="H53" s="17" t="n">
        <f aca="false">IFERROR(INDEX(Scores!$N$2:$N$300,$N53),"")</f>
        <v>70</v>
      </c>
      <c r="I53" s="17" t="n">
        <f aca="false">IFERROR(INDEX(Scores!$O$2:$O$300,$N53),"")</f>
        <v>90</v>
      </c>
      <c r="J53" s="17" t="n">
        <f aca="false">IFERROR(INDEX(Scores!$P$2:$P$300,$N53),"")</f>
        <v>10</v>
      </c>
      <c r="K53" s="16" t="n">
        <f aca="false">IFERROR(INDEX(Scores!$E$2:$E$300,$N53),"")</f>
        <v>62.8205128205128</v>
      </c>
      <c r="L53" s="16" t="n">
        <f aca="false">IF(w_haz+w_risk&lt;=0,"",IF(AND(OR(w_haz=0,ISNUMBER(F53)),OR(w_risk=0,ISNUMBER(K53))),(w_haz*N(F53)+w_risk*N(K53))/(w_haz*ISNUMBER(F53)+w_risk*ISNUMBER(K53)),IF(ISNUMBER(F53),"needs Human Risk",IF(ISNUMBER(K53),"needs Venom Hazard","needs both"))))</f>
        <v>47.283811079474</v>
      </c>
      <c r="M53" s="13" t="n">
        <f aca="false">IF(ISNUMBER(L53),RANK(L53,$L$2:$L$300),"")</f>
        <v>52</v>
      </c>
      <c r="N53" s="18" t="n">
        <f aca="false">IFERROR(MATCH($A53,Scores!$A$2:$A$300,0),"")</f>
        <v>73</v>
      </c>
      <c r="O53" s="18" t="n">
        <f aca="false">IFERROR(MATCH($A53,Species!$A$2:$A$300,0),"")</f>
        <v>58</v>
      </c>
    </row>
    <row r="54" customFormat="false" ht="15" hidden="false" customHeight="true" outlineLevel="0" collapsed="false">
      <c r="A54" s="13" t="s">
        <v>44</v>
      </c>
      <c r="B54" s="13" t="str">
        <f aca="false">IFERROR(INDEX(Species!$B$2:$B$300,$O54),"NOT IN SPECIES")</f>
        <v>King cobra</v>
      </c>
      <c r="C54" s="13" t="str">
        <f aca="false">IFERROR(INDEX(Species!$C$2:$C$300,$O54)&amp;"","")</f>
        <v/>
      </c>
      <c r="D54" s="14" t="n">
        <f aca="false">IFERROR(INDEX(Species!$G$2:$G$300,$O54),"")</f>
        <v>0.9</v>
      </c>
      <c r="E54" s="15" t="n">
        <f aca="false">IFERROR(INDEX(Species!$L$2:$L$300,$O54),"")</f>
        <v>500</v>
      </c>
      <c r="F54" s="16" t="n">
        <f aca="false">IFERROR(INDEX(Scores!$C$2:$C$300,$N54),"")</f>
        <v>65.90385625051</v>
      </c>
      <c r="G54" s="17" t="n">
        <f aca="false">IFERROR(INDEX(Scores!$M$2:$M$300,$N54),"")</f>
        <v>27.7777777777778</v>
      </c>
      <c r="H54" s="17" t="n">
        <f aca="false">IFERROR(INDEX(Scores!$N$2:$N$300,$N54),"")</f>
        <v>30</v>
      </c>
      <c r="I54" s="17" t="n">
        <f aca="false">IFERROR(INDEX(Scores!$O$2:$O$300,$N54),"")</f>
        <v>30</v>
      </c>
      <c r="J54" s="17" t="n">
        <f aca="false">IFERROR(INDEX(Scores!$P$2:$P$300,$N54),"")</f>
        <v>30</v>
      </c>
      <c r="K54" s="16" t="n">
        <f aca="false">IFERROR(INDEX(Scores!$E$2:$E$300,$N54),"")</f>
        <v>29.1452991452991</v>
      </c>
      <c r="L54" s="16" t="n">
        <f aca="false">IF(w_haz+w_risk&lt;=0,"",IF(AND(OR(w_haz=0,ISNUMBER(F54)),OR(w_risk=0,ISNUMBER(K54))),(w_haz*N(F54)+w_risk*N(K54))/(w_haz*ISNUMBER(F54)+w_risk*ISNUMBER(K54)),IF(ISNUMBER(F54),"needs Human Risk",IF(ISNUMBER(K54),"needs Venom Hazard","needs both"))))</f>
        <v>47.5245776979046</v>
      </c>
      <c r="M54" s="13" t="n">
        <f aca="false">IF(ISNUMBER(L54),RANK(L54,$L$2:$L$300),"")</f>
        <v>51</v>
      </c>
      <c r="N54" s="18" t="n">
        <f aca="false">IFERROR(MATCH($A54,Scores!$A$2:$A$300,0),"")</f>
        <v>27</v>
      </c>
      <c r="O54" s="18" t="n">
        <f aca="false">IFERROR(MATCH($A54,Species!$A$2:$A$300,0),"")</f>
        <v>17</v>
      </c>
    </row>
    <row r="55" customFormat="false" ht="15" hidden="false" customHeight="true" outlineLevel="0" collapsed="false">
      <c r="A55" s="13" t="s">
        <v>64</v>
      </c>
      <c r="B55" s="13" t="str">
        <f aca="false">IFERROR(INDEX(Species!$B$2:$B$300,$O55),"NOT IN SPECIES")</f>
        <v>Timber rattlesnake</v>
      </c>
      <c r="C55" s="13" t="str">
        <f aca="false">IFERROR(INDEX(Species!$C$2:$C$300,$O55)&amp;"","")</f>
        <v>Canebrake rattlesnake</v>
      </c>
      <c r="D55" s="14" t="n">
        <f aca="false">IFERROR(INDEX(Species!$G$2:$G$300,$O55),"")</f>
        <v>1.64</v>
      </c>
      <c r="E55" s="15" t="n">
        <f aca="false">IFERROR(INDEX(Species!$L$2:$L$300,$O55),"")</f>
        <v>210</v>
      </c>
      <c r="F55" s="16" t="n">
        <f aca="false">IFERROR(INDEX(Scores!$C$2:$C$300,$N55),"")</f>
        <v>54.5376398734088</v>
      </c>
      <c r="G55" s="17" t="n">
        <f aca="false">IFERROR(INDEX(Scores!$M$2:$M$300,$N55),"")</f>
        <v>27.7777777777778</v>
      </c>
      <c r="H55" s="17" t="n">
        <f aca="false">IFERROR(INDEX(Scores!$N$2:$N$300,$N55),"")</f>
        <v>30</v>
      </c>
      <c r="I55" s="17" t="n">
        <f aca="false">IFERROR(INDEX(Scores!$O$2:$O$300,$N55),"")</f>
        <v>90</v>
      </c>
      <c r="J55" s="17" t="n">
        <f aca="false">IFERROR(INDEX(Scores!$P$2:$P$300,$N55),"")</f>
        <v>10</v>
      </c>
      <c r="K55" s="16" t="n">
        <f aca="false">IFERROR(INDEX(Scores!$E$2:$E$300,$N55),"")</f>
        <v>39.9145299145299</v>
      </c>
      <c r="L55" s="16" t="n">
        <f aca="false">IF(w_haz+w_risk&lt;=0,"",IF(AND(OR(w_haz=0,ISNUMBER(F55)),OR(w_risk=0,ISNUMBER(K55))),(w_haz*N(F55)+w_risk*N(K55))/(w_haz*ISNUMBER(F55)+w_risk*ISNUMBER(K55)),IF(ISNUMBER(F55),"needs Human Risk",IF(ISNUMBER(K55),"needs Venom Hazard","needs both"))))</f>
        <v>47.2260848939693</v>
      </c>
      <c r="M55" s="13" t="n">
        <f aca="false">IF(ISNUMBER(L55),RANK(L55,$L$2:$L$300),"")</f>
        <v>53</v>
      </c>
      <c r="N55" s="18" t="n">
        <f aca="false">IFERROR(MATCH($A55,Scores!$A$2:$A$300,0),"")</f>
        <v>47</v>
      </c>
      <c r="O55" s="18" t="n">
        <f aca="false">IFERROR(MATCH($A55,Species!$A$2:$A$300,0),"")</f>
        <v>30</v>
      </c>
    </row>
    <row r="56" customFormat="false" ht="15" hidden="false" customHeight="true" outlineLevel="0" collapsed="false">
      <c r="A56" s="13" t="s">
        <v>106</v>
      </c>
      <c r="B56" s="13" t="str">
        <f aca="false">IFERROR(INDEX(Species!$B$2:$B$300,$O56),"NOT IN SPECIES")</f>
        <v>Dugite</v>
      </c>
      <c r="C56" s="13" t="str">
        <f aca="false">IFERROR(INDEX(Species!$C$2:$C$300,$O56)&amp;"","")</f>
        <v>Spotted brown snake</v>
      </c>
      <c r="D56" s="14" t="n">
        <f aca="false">IFERROR(INDEX(Species!$G$2:$G$300,$O56),"")</f>
        <v>0.66</v>
      </c>
      <c r="E56" s="15" t="n">
        <f aca="false">IFERROR(INDEX(Species!$L$2:$L$300,$O56),"")</f>
        <v>52.58</v>
      </c>
      <c r="F56" s="16" t="n">
        <f aca="false">IFERROR(INDEX(Scores!$C$2:$C$300,$N56),"")</f>
        <v>53.4357689088736</v>
      </c>
      <c r="G56" s="17" t="n">
        <f aca="false">IFERROR(INDEX(Scores!$M$2:$M$300,$N56),"")</f>
        <v>54.4444444444444</v>
      </c>
      <c r="H56" s="17" t="n">
        <f aca="false">IFERROR(INDEX(Scores!$N$2:$N$300,$N56),"")</f>
        <v>50</v>
      </c>
      <c r="I56" s="17" t="n">
        <f aca="false">IFERROR(INDEX(Scores!$O$2:$O$300,$N56),"")</f>
        <v>30</v>
      </c>
      <c r="J56" s="17" t="n">
        <f aca="false">IFERROR(INDEX(Scores!$P$2:$P$300,$N56),"")</f>
        <v>10</v>
      </c>
      <c r="K56" s="16" t="n">
        <f aca="false">IFERROR(INDEX(Scores!$E$2:$E$300,$N56),"")</f>
        <v>40.9401709401709</v>
      </c>
      <c r="L56" s="16" t="n">
        <f aca="false">IF(w_haz+w_risk&lt;=0,"",IF(AND(OR(w_haz=0,ISNUMBER(F56)),OR(w_risk=0,ISNUMBER(K56))),(w_haz*N(F56)+w_risk*N(K56))/(w_haz*ISNUMBER(F56)+w_risk*ISNUMBER(K56)),IF(ISNUMBER(F56),"needs Human Risk",IF(ISNUMBER(K56),"needs Venom Hazard","needs both"))))</f>
        <v>47.1879699245223</v>
      </c>
      <c r="M56" s="13" t="n">
        <f aca="false">IF(ISNUMBER(L56),RANK(L56,$L$2:$L$300),"")</f>
        <v>54</v>
      </c>
      <c r="N56" s="18" t="n">
        <f aca="false">IFERROR(MATCH($A56,Scores!$A$2:$A$300,0),"")</f>
        <v>89</v>
      </c>
      <c r="O56" s="18" t="n">
        <f aca="false">IFERROR(MATCH($A56,Species!$A$2:$A$300,0),"")</f>
        <v>69</v>
      </c>
    </row>
    <row r="57" customFormat="false" ht="15" hidden="false" customHeight="true" outlineLevel="0" collapsed="false">
      <c r="A57" s="13" t="s">
        <v>67</v>
      </c>
      <c r="B57" s="13" t="str">
        <f aca="false">IFERROR(INDEX(Species!$B$2:$B$300,$O57),"NOT IN SPECIES")</f>
        <v>Banded krait</v>
      </c>
      <c r="C57" s="13" t="str">
        <f aca="false">IFERROR(INDEX(Species!$C$2:$C$300,$O57)&amp;"","")</f>
        <v/>
      </c>
      <c r="D57" s="14" t="n">
        <f aca="false">IFERROR(INDEX(Species!$G$2:$G$300,$O57),"")</f>
        <v>1.2</v>
      </c>
      <c r="E57" s="15" t="n">
        <f aca="false">IFERROR(INDEX(Species!$L$2:$L$300,$O57),"")</f>
        <v>114</v>
      </c>
      <c r="F57" s="16" t="n">
        <f aca="false">IFERROR(INDEX(Scores!$C$2:$C$300,$N57),"")</f>
        <v>53.2380095330834</v>
      </c>
      <c r="G57" s="17" t="n">
        <f aca="false">IFERROR(INDEX(Scores!$M$2:$M$300,$N57),"")</f>
        <v>54.4444444444444</v>
      </c>
      <c r="H57" s="17" t="n">
        <f aca="false">IFERROR(INDEX(Scores!$N$2:$N$300,$N57),"")</f>
        <v>30</v>
      </c>
      <c r="I57" s="17" t="n">
        <f aca="false">IFERROR(INDEX(Scores!$O$2:$O$300,$N57),"")</f>
        <v>30</v>
      </c>
      <c r="J57" s="17" t="n">
        <f aca="false">IFERROR(INDEX(Scores!$P$2:$P$300,$N57),"")</f>
        <v>30</v>
      </c>
      <c r="K57" s="16" t="n">
        <f aca="false">IFERROR(INDEX(Scores!$E$2:$E$300,$N57),"")</f>
        <v>39.4017094017094</v>
      </c>
      <c r="L57" s="16" t="n">
        <f aca="false">IF(w_haz+w_risk&lt;=0,"",IF(AND(OR(w_haz=0,ISNUMBER(F57)),OR(w_risk=0,ISNUMBER(K57))),(w_haz*N(F57)+w_risk*N(K57))/(w_haz*ISNUMBER(F57)+w_risk*ISNUMBER(K57)),IF(ISNUMBER(F57),"needs Human Risk",IF(ISNUMBER(K57),"needs Venom Hazard","needs both"))))</f>
        <v>46.3198594673964</v>
      </c>
      <c r="M57" s="13" t="n">
        <f aca="false">IF(ISNUMBER(L57),RANK(L57,$L$2:$L$300),"")</f>
        <v>56</v>
      </c>
      <c r="N57" s="18" t="n">
        <f aca="false">IFERROR(MATCH($A57,Scores!$A$2:$A$300,0),"")</f>
        <v>50</v>
      </c>
      <c r="O57" s="18" t="n">
        <f aca="false">IFERROR(MATCH($A57,Species!$A$2:$A$300,0),"")</f>
        <v>35</v>
      </c>
    </row>
    <row r="58" customFormat="false" ht="15" hidden="false" customHeight="true" outlineLevel="0" collapsed="false">
      <c r="A58" s="13" t="s">
        <v>74</v>
      </c>
      <c r="B58" s="13" t="str">
        <f aca="false">IFERROR(INDEX(Species!$B$2:$B$300,$O58),"NOT IN SPECIES")</f>
        <v>Picado's pit viper</v>
      </c>
      <c r="C58" s="13" t="str">
        <f aca="false">IFERROR(INDEX(Species!$C$2:$C$300,$O58)&amp;"","")</f>
        <v/>
      </c>
      <c r="D58" s="14" t="n">
        <f aca="false">IFERROR(INDEX(Species!$G$2:$G$300,$O58),"")</f>
        <v>1.33</v>
      </c>
      <c r="E58" s="15" t="n">
        <f aca="false">IFERROR(INDEX(Species!$L$2:$L$300,$O58),"")</f>
        <v>70</v>
      </c>
      <c r="F58" s="16" t="n">
        <f aca="false">IFERROR(INDEX(Scores!$C$2:$C$300,$N58),"")</f>
        <v>48.9871756993818</v>
      </c>
      <c r="G58" s="17" t="n">
        <f aca="false">IFERROR(INDEX(Scores!$M$2:$M$300,$N58),"")</f>
        <v>27.7777777777778</v>
      </c>
      <c r="H58" s="17" t="n">
        <f aca="false">IFERROR(INDEX(Scores!$N$2:$N$300,$N58),"")</f>
        <v>30</v>
      </c>
      <c r="I58" s="17" t="n">
        <f aca="false">IFERROR(INDEX(Scores!$O$2:$O$300,$N58),"")</f>
        <v>90</v>
      </c>
      <c r="J58" s="17" t="n">
        <f aca="false">IFERROR(INDEX(Scores!$P$2:$P$300,$N58),"")</f>
        <v>30</v>
      </c>
      <c r="K58" s="16" t="n">
        <f aca="false">IFERROR(INDEX(Scores!$E$2:$E$300,$N58),"")</f>
        <v>42.991452991453</v>
      </c>
      <c r="L58" s="16" t="n">
        <f aca="false">IF(w_haz+w_risk&lt;=0,"",IF(AND(OR(w_haz=0,ISNUMBER(F58)),OR(w_risk=0,ISNUMBER(K58))),(w_haz*N(F58)+w_risk*N(K58))/(w_haz*ISNUMBER(F58)+w_risk*ISNUMBER(K58)),IF(ISNUMBER(F58),"needs Human Risk",IF(ISNUMBER(K58),"needs Venom Hazard","needs both"))))</f>
        <v>45.9893143454174</v>
      </c>
      <c r="M58" s="13" t="n">
        <f aca="false">IF(ISNUMBER(L58),RANK(L58,$L$2:$L$300),"")</f>
        <v>57</v>
      </c>
      <c r="N58" s="18" t="n">
        <f aca="false">IFERROR(MATCH($A58,Scores!$A$2:$A$300,0),"")</f>
        <v>57</v>
      </c>
      <c r="O58" s="18" t="n">
        <f aca="false">IFERROR(MATCH($A58,Species!$A$2:$A$300,0),"")</f>
        <v>40</v>
      </c>
    </row>
    <row r="59" customFormat="false" ht="15" hidden="false" customHeight="true" outlineLevel="0" collapsed="false">
      <c r="A59" s="13" t="s">
        <v>108</v>
      </c>
      <c r="B59" s="13" t="str">
        <f aca="false">IFERROR(INDEX(Species!$B$2:$B$300,$O59),"NOT IN SPECIES")</f>
        <v>Western brown snake</v>
      </c>
      <c r="C59" s="13" t="str">
        <f aca="false">IFERROR(INDEX(Species!$C$2:$C$300,$O59)&amp;"","")</f>
        <v>Gwardar</v>
      </c>
      <c r="D59" s="14" t="n">
        <f aca="false">IFERROR(INDEX(Species!$G$2:$G$300,$O59),"")</f>
        <v>0.473</v>
      </c>
      <c r="E59" s="15" t="n">
        <f aca="false">IFERROR(INDEX(Species!$L$2:$L$300,$O59),"")</f>
        <v>32.92</v>
      </c>
      <c r="F59" s="16" t="n">
        <f aca="false">IFERROR(INDEX(Scores!$C$2:$C$300,$N59),"")</f>
        <v>53.2945235677632</v>
      </c>
      <c r="G59" s="17" t="n">
        <f aca="false">IFERROR(INDEX(Scores!$M$2:$M$300,$N59),"")</f>
        <v>45.5555555555556</v>
      </c>
      <c r="H59" s="17" t="n">
        <f aca="false">IFERROR(INDEX(Scores!$N$2:$N$300,$N59),"")</f>
        <v>50</v>
      </c>
      <c r="I59" s="17" t="n">
        <f aca="false">IFERROR(INDEX(Scores!$O$2:$O$300,$N59),"")</f>
        <v>30</v>
      </c>
      <c r="J59" s="17" t="n">
        <f aca="false">IFERROR(INDEX(Scores!$P$2:$P$300,$N59),"")</f>
        <v>10</v>
      </c>
      <c r="K59" s="16" t="n">
        <f aca="false">IFERROR(INDEX(Scores!$E$2:$E$300,$N59),"")</f>
        <v>37.5213675213675</v>
      </c>
      <c r="L59" s="16" t="n">
        <f aca="false">IF(w_haz+w_risk&lt;=0,"",IF(AND(OR(w_haz=0,ISNUMBER(F59)),OR(w_risk=0,ISNUMBER(K59))),(w_haz*N(F59)+w_risk*N(K59))/(w_haz*ISNUMBER(F59)+w_risk*ISNUMBER(K59)),IF(ISNUMBER(F59),"needs Human Risk",IF(ISNUMBER(K59),"needs Venom Hazard","needs both"))))</f>
        <v>45.4079455445654</v>
      </c>
      <c r="M59" s="13" t="n">
        <f aca="false">IF(ISNUMBER(L59),RANK(L59,$L$2:$L$300),"")</f>
        <v>58</v>
      </c>
      <c r="N59" s="18" t="n">
        <f aca="false">IFERROR(MATCH($A59,Scores!$A$2:$A$300,0),"")</f>
        <v>91</v>
      </c>
      <c r="O59" s="18" t="n">
        <f aca="false">IFERROR(MATCH($A59,Species!$A$2:$A$300,0),"")</f>
        <v>68</v>
      </c>
    </row>
    <row r="60" customFormat="false" ht="15" hidden="false" customHeight="true" outlineLevel="0" collapsed="false">
      <c r="A60" s="13" t="s">
        <v>85</v>
      </c>
      <c r="B60" s="13" t="str">
        <f aca="false">IFERROR(INDEX(Species!$B$2:$B$300,$O60),"NOT IN SPECIES")</f>
        <v>Common night adder</v>
      </c>
      <c r="C60" s="13" t="str">
        <f aca="false">IFERROR(INDEX(Species!$C$2:$C$300,$O60)&amp;"","")</f>
        <v>Rhombic night adder</v>
      </c>
      <c r="D60" s="14" t="n">
        <f aca="false">IFERROR(INDEX(Species!$G$2:$G$300,$O60),"")</f>
        <v>1.85</v>
      </c>
      <c r="E60" s="15" t="n">
        <f aca="false">IFERROR(INDEX(Species!$L$2:$L$300,$O60),"")</f>
        <v>30</v>
      </c>
      <c r="F60" s="16" t="n">
        <f aca="false">IFERROR(INDEX(Scores!$C$2:$C$300,$N60),"")</f>
        <v>40.2217530783315</v>
      </c>
      <c r="G60" s="17" t="n">
        <f aca="false">IFERROR(INDEX(Scores!$M$2:$M$300,$N60),"")</f>
        <v>45.5555555555556</v>
      </c>
      <c r="H60" s="17" t="n">
        <f aca="false">IFERROR(INDEX(Scores!$N$2:$N$300,$N60),"")</f>
        <v>30</v>
      </c>
      <c r="I60" s="17" t="n">
        <f aca="false">IFERROR(INDEX(Scores!$O$2:$O$300,$N60),"")</f>
        <v>90</v>
      </c>
      <c r="J60" s="17" t="n">
        <f aca="false">IFERROR(INDEX(Scores!$P$2:$P$300,$N60),"")</f>
        <v>30</v>
      </c>
      <c r="K60" s="16" t="n">
        <f aca="false">IFERROR(INDEX(Scores!$E$2:$E$300,$N60),"")</f>
        <v>49.8290598290598</v>
      </c>
      <c r="L60" s="16" t="n">
        <f aca="false">IF(w_haz+w_risk&lt;=0,"",IF(AND(OR(w_haz=0,ISNUMBER(F60)),OR(w_risk=0,ISNUMBER(K60))),(w_haz*N(F60)+w_risk*N(K60))/(w_haz*ISNUMBER(F60)+w_risk*ISNUMBER(K60)),IF(ISNUMBER(F60),"needs Human Risk",IF(ISNUMBER(K60),"needs Venom Hazard","needs both"))))</f>
        <v>45.0254064536957</v>
      </c>
      <c r="M60" s="13" t="n">
        <f aca="false">IF(ISNUMBER(L60),RANK(L60,$L$2:$L$300),"")</f>
        <v>60</v>
      </c>
      <c r="N60" s="18" t="n">
        <f aca="false">IFERROR(MATCH($A60,Scores!$A$2:$A$300,0),"")</f>
        <v>68</v>
      </c>
      <c r="O60" s="18" t="n">
        <f aca="false">IFERROR(MATCH($A60,Species!$A$2:$A$300,0),"")</f>
        <v>49</v>
      </c>
    </row>
    <row r="61" customFormat="false" ht="15" hidden="false" customHeight="true" outlineLevel="0" collapsed="false">
      <c r="A61" s="13" t="s">
        <v>58</v>
      </c>
      <c r="B61" s="13" t="str">
        <f aca="false">IFERROR(INDEX(Species!$B$2:$B$300,$O61),"NOT IN SPECIES")</f>
        <v>Western green mamba</v>
      </c>
      <c r="C61" s="13" t="str">
        <f aca="false">IFERROR(INDEX(Species!$C$2:$C$300,$O61)&amp;"","")</f>
        <v>West African green mamba</v>
      </c>
      <c r="D61" s="14" t="n">
        <f aca="false">IFERROR(INDEX(Species!$G$2:$G$300,$O61),"")</f>
        <v>0.7</v>
      </c>
      <c r="E61" s="15" t="n">
        <f aca="false">IFERROR(INDEX(Species!$L$2:$L$300,$O61),"")</f>
        <v>100</v>
      </c>
      <c r="F61" s="16" t="n">
        <f aca="false">IFERROR(INDEX(Scores!$C$2:$C$300,$N61),"")</f>
        <v>57.2651444407749</v>
      </c>
      <c r="G61" s="17" t="n">
        <f aca="false">IFERROR(INDEX(Scores!$M$2:$M$300,$N61),"")</f>
        <v>36.6666666666667</v>
      </c>
      <c r="H61" s="17" t="n">
        <f aca="false">IFERROR(INDEX(Scores!$N$2:$N$300,$N61),"")</f>
        <v>30</v>
      </c>
      <c r="I61" s="17" t="n">
        <f aca="false">IFERROR(INDEX(Scores!$O$2:$O$300,$N61),"")</f>
        <v>30</v>
      </c>
      <c r="J61" s="17" t="n">
        <f aca="false">IFERROR(INDEX(Scores!$P$2:$P$300,$N61),"")</f>
        <v>30</v>
      </c>
      <c r="K61" s="16" t="n">
        <f aca="false">IFERROR(INDEX(Scores!$E$2:$E$300,$N61),"")</f>
        <v>32.5641025641026</v>
      </c>
      <c r="L61" s="16" t="n">
        <f aca="false">IF(w_haz+w_risk&lt;=0,"",IF(AND(OR(w_haz=0,ISNUMBER(F61)),OR(w_risk=0,ISNUMBER(K61))),(w_haz*N(F61)+w_risk*N(K61))/(w_haz*ISNUMBER(F61)+w_risk*ISNUMBER(K61)),IF(ISNUMBER(F61),"needs Human Risk",IF(ISNUMBER(K61),"needs Venom Hazard","needs both"))))</f>
        <v>44.9146235024388</v>
      </c>
      <c r="M61" s="13" t="n">
        <f aca="false">IF(ISNUMBER(L61),RANK(L61,$L$2:$L$300),"")</f>
        <v>61</v>
      </c>
      <c r="N61" s="18" t="n">
        <f aca="false">IFERROR(MATCH($A61,Scores!$A$2:$A$300,0),"")</f>
        <v>41</v>
      </c>
      <c r="O61" s="18" t="n">
        <f aca="false">IFERROR(MATCH($A61,Species!$A$2:$A$300,0),"")</f>
        <v>77</v>
      </c>
    </row>
    <row r="62" customFormat="false" ht="15" hidden="false" customHeight="true" outlineLevel="0" collapsed="false">
      <c r="A62" s="13" t="s">
        <v>55</v>
      </c>
      <c r="B62" s="13" t="str">
        <f aca="false">IFERROR(INDEX(Species!$B$2:$B$300,$O62),"NOT IN SPECIES")</f>
        <v>Olive brown sea snake</v>
      </c>
      <c r="C62" s="13" t="str">
        <f aca="false">IFERROR(INDEX(Species!$C$2:$C$300,$O62)&amp;"","")</f>
        <v>Olive sea snake; Golden sea snake</v>
      </c>
      <c r="D62" s="14" t="n">
        <f aca="false">IFERROR(INDEX(Species!$G$2:$G$300,$O62),"")</f>
        <v>0.22</v>
      </c>
      <c r="E62" s="15" t="n">
        <f aca="false">IFERROR(INDEX(Species!$L$2:$L$300,$O62),"")</f>
        <v>33</v>
      </c>
      <c r="F62" s="16" t="n">
        <f aca="false">IFERROR(INDEX(Scores!$C$2:$C$300,$N62),"")</f>
        <v>60.2941155040911</v>
      </c>
      <c r="G62" s="17" t="n">
        <f aca="false">IFERROR(INDEX(Scores!$M$2:$M$300,$N62),"")</f>
        <v>10</v>
      </c>
      <c r="H62" s="17" t="n">
        <f aca="false">IFERROR(INDEX(Scores!$N$2:$N$300,$N62),"")</f>
        <v>30</v>
      </c>
      <c r="I62" s="17" t="n">
        <f aca="false">IFERROR(INDEX(Scores!$O$2:$O$300,$N62),"")</f>
        <v>50</v>
      </c>
      <c r="J62" s="17" t="n">
        <f aca="false">IFERROR(INDEX(Scores!$P$2:$P$300,$N62),"")</f>
        <v>50</v>
      </c>
      <c r="K62" s="16" t="n">
        <f aca="false">IFERROR(INDEX(Scores!$E$2:$E$300,$N62),"")</f>
        <v>30</v>
      </c>
      <c r="L62" s="16" t="n">
        <f aca="false">IF(w_haz+w_risk&lt;=0,"",IF(AND(OR(w_haz=0,ISNUMBER(F62)),OR(w_risk=0,ISNUMBER(K62))),(w_haz*N(F62)+w_risk*N(K62))/(w_haz*ISNUMBER(F62)+w_risk*ISNUMBER(K62)),IF(ISNUMBER(F62),"needs Human Risk",IF(ISNUMBER(K62),"needs Venom Hazard","needs both"))))</f>
        <v>45.1470577520456</v>
      </c>
      <c r="M62" s="13" t="n">
        <f aca="false">IF(ISNUMBER(L62),RANK(L62,$L$2:$L$300),"")</f>
        <v>59</v>
      </c>
      <c r="N62" s="18" t="n">
        <f aca="false">IFERROR(MATCH($A62,Scores!$A$2:$A$300,0),"")</f>
        <v>38</v>
      </c>
      <c r="O62" s="18" t="n">
        <f aca="false">IFERROR(MATCH($A62,Species!$A$2:$A$300,0),"")</f>
        <v>64</v>
      </c>
    </row>
    <row r="63" customFormat="false" ht="15" hidden="false" customHeight="true" outlineLevel="0" collapsed="false">
      <c r="A63" s="13" t="s">
        <v>91</v>
      </c>
      <c r="B63" s="13" t="str">
        <f aca="false">IFERROR(INDEX(Species!$B$2:$B$300,$O63),"NOT IN SPECIES")</f>
        <v>Lowlands copperhead</v>
      </c>
      <c r="C63" s="13" t="str">
        <f aca="false">IFERROR(INDEX(Species!$C$2:$C$300,$O63)&amp;"","")</f>
        <v>Australian copperhead</v>
      </c>
      <c r="D63" s="14" t="n">
        <f aca="false">IFERROR(INDEX(Species!$G$2:$G$300,$O63),"")</f>
        <v>0.56</v>
      </c>
      <c r="E63" s="15" t="n">
        <f aca="false">IFERROR(INDEX(Species!$L$2:$L$300,$O63),"")</f>
        <v>85</v>
      </c>
      <c r="F63" s="16" t="n">
        <f aca="false">IFERROR(INDEX(Scores!$C$2:$C$300,$N63),"")</f>
        <v>58.1969729091392</v>
      </c>
      <c r="G63" s="17" t="n">
        <f aca="false">IFERROR(INDEX(Scores!$M$2:$M$300,$N63),"")</f>
        <v>27.7777777777778</v>
      </c>
      <c r="H63" s="17" t="n">
        <f aca="false">IFERROR(INDEX(Scores!$N$2:$N$300,$N63),"")</f>
        <v>30</v>
      </c>
      <c r="I63" s="17" t="n">
        <f aca="false">IFERROR(INDEX(Scores!$O$2:$O$300,$N63),"")</f>
        <v>50</v>
      </c>
      <c r="J63" s="17" t="n">
        <f aca="false">IFERROR(INDEX(Scores!$P$2:$P$300,$N63),"")</f>
        <v>10</v>
      </c>
      <c r="K63" s="16" t="n">
        <f aca="false">IFERROR(INDEX(Scores!$E$2:$E$300,$N63),"")</f>
        <v>30.6837606837607</v>
      </c>
      <c r="L63" s="16" t="n">
        <f aca="false">IF(w_haz+w_risk&lt;=0,"",IF(AND(OR(w_haz=0,ISNUMBER(F63)),OR(w_risk=0,ISNUMBER(K63))),(w_haz*N(F63)+w_risk*N(K63))/(w_haz*ISNUMBER(F63)+w_risk*ISNUMBER(K63)),IF(ISNUMBER(F63),"needs Human Risk",IF(ISNUMBER(K63),"needs Venom Hazard","needs both"))))</f>
        <v>44.4403667964499</v>
      </c>
      <c r="M63" s="13" t="n">
        <f aca="false">IF(ISNUMBER(L63),RANK(L63,$L$2:$L$300),"")</f>
        <v>62</v>
      </c>
      <c r="N63" s="18" t="n">
        <f aca="false">IFERROR(MATCH($A63,Scores!$A$2:$A$300,0),"")</f>
        <v>74</v>
      </c>
      <c r="O63" s="18" t="n">
        <f aca="false">IFERROR(MATCH($A63,Species!$A$2:$A$300,0),"")</f>
        <v>56</v>
      </c>
    </row>
    <row r="64" customFormat="false" ht="15" hidden="false" customHeight="true" outlineLevel="0" collapsed="false">
      <c r="A64" s="13" t="s">
        <v>65</v>
      </c>
      <c r="B64" s="13" t="str">
        <f aca="false">IFERROR(INDEX(Species!$B$2:$B$300,$O64),"NOT IN SPECIES")</f>
        <v>Black-banded sea krait</v>
      </c>
      <c r="C64" s="13" t="str">
        <f aca="false">IFERROR(INDEX(Species!$C$2:$C$300,$O64)&amp;"","")</f>
        <v>Erabu sea krait; Chinese sea snake</v>
      </c>
      <c r="D64" s="14" t="n">
        <f aca="false">IFERROR(INDEX(Species!$G$2:$G$300,$O64),"")</f>
        <v>0.21</v>
      </c>
      <c r="E64" s="15" t="n">
        <f aca="false">IFERROR(INDEX(Species!$L$2:$L$300,$O64),"")</f>
        <v>14</v>
      </c>
      <c r="F64" s="16" t="n">
        <f aca="false">IFERROR(INDEX(Scores!$C$2:$C$300,$N64),"")</f>
        <v>54.8946644683451</v>
      </c>
      <c r="G64" s="17" t="n">
        <f aca="false">IFERROR(INDEX(Scores!$M$2:$M$300,$N64),"")</f>
        <v>18.8888888888889</v>
      </c>
      <c r="H64" s="17" t="n">
        <f aca="false">IFERROR(INDEX(Scores!$N$2:$N$300,$N64),"")</f>
        <v>30</v>
      </c>
      <c r="I64" s="17" t="n">
        <f aca="false">IFERROR(INDEX(Scores!$O$2:$O$300,$N64),"")</f>
        <v>50</v>
      </c>
      <c r="J64" s="17" t="n">
        <f aca="false">IFERROR(INDEX(Scores!$P$2:$P$300,$N64),"")</f>
        <v>50</v>
      </c>
      <c r="K64" s="16" t="n">
        <f aca="false">IFERROR(INDEX(Scores!$E$2:$E$300,$N64),"")</f>
        <v>33.4188034188034</v>
      </c>
      <c r="L64" s="16" t="n">
        <f aca="false">IF(w_haz+w_risk&lt;=0,"",IF(AND(OR(w_haz=0,ISNUMBER(F64)),OR(w_risk=0,ISNUMBER(K64))),(w_haz*N(F64)+w_risk*N(K64))/(w_haz*ISNUMBER(F64)+w_risk*ISNUMBER(K64)),IF(ISNUMBER(F64),"needs Human Risk",IF(ISNUMBER(K64),"needs Venom Hazard","needs both"))))</f>
        <v>44.1567339435743</v>
      </c>
      <c r="M64" s="13" t="n">
        <f aca="false">IF(ISNUMBER(L64),RANK(L64,$L$2:$L$300),"")</f>
        <v>63</v>
      </c>
      <c r="N64" s="18" t="n">
        <f aca="false">IFERROR(MATCH($A64,Scores!$A$2:$A$300,0),"")</f>
        <v>48</v>
      </c>
      <c r="O64" s="18" t="n">
        <f aca="false">IFERROR(MATCH($A64,Species!$A$2:$A$300,0),"")</f>
        <v>81</v>
      </c>
    </row>
    <row r="65" customFormat="false" ht="15" hidden="false" customHeight="true" outlineLevel="0" collapsed="false">
      <c r="A65" s="13" t="s">
        <v>89</v>
      </c>
      <c r="B65" s="13" t="str">
        <f aca="false">IFERROR(INDEX(Species!$B$2:$B$300,$O65),"NOT IN SPECIES")</f>
        <v>Mamushi</v>
      </c>
      <c r="C65" s="13" t="str">
        <f aca="false">IFERROR(INDEX(Species!$C$2:$C$300,$O65)&amp;"","")</f>
        <v>Japanese mamushi; Japanese pit viper</v>
      </c>
      <c r="D65" s="14" t="n">
        <f aca="false">IFERROR(INDEX(Species!$G$2:$G$300,$O65),"")</f>
        <v>1.2</v>
      </c>
      <c r="E65" s="15" t="n">
        <f aca="false">IFERROR(INDEX(Species!$L$2:$L$300,$O65),"")</f>
        <v>7</v>
      </c>
      <c r="F65" s="16" t="n">
        <f aca="false">IFERROR(INDEX(Scores!$C$2:$C$300,$N65),"")</f>
        <v>34.2862556820465</v>
      </c>
      <c r="G65" s="17" t="n">
        <f aca="false">IFERROR(INDEX(Scores!$M$2:$M$300,$N65),"")</f>
        <v>54.4444444444444</v>
      </c>
      <c r="H65" s="17" t="n">
        <f aca="false">IFERROR(INDEX(Scores!$N$2:$N$300,$N65),"")</f>
        <v>50</v>
      </c>
      <c r="I65" s="17" t="n">
        <f aca="false">IFERROR(INDEX(Scores!$O$2:$O$300,$N65),"")</f>
        <v>70</v>
      </c>
      <c r="J65" s="17" t="n">
        <f aca="false">IFERROR(INDEX(Scores!$P$2:$P$300,$N65),"")</f>
        <v>30</v>
      </c>
      <c r="K65" s="16" t="n">
        <f aca="false">IFERROR(INDEX(Scores!$E$2:$E$300,$N65),"")</f>
        <v>53.2478632478633</v>
      </c>
      <c r="L65" s="16" t="n">
        <f aca="false">IF(w_haz+w_risk&lt;=0,"",IF(AND(OR(w_haz=0,ISNUMBER(F65)),OR(w_risk=0,ISNUMBER(K65))),(w_haz*N(F65)+w_risk*N(K65))/(w_haz*ISNUMBER(F65)+w_risk*ISNUMBER(K65)),IF(ISNUMBER(F65),"needs Human Risk",IF(ISNUMBER(K65),"needs Venom Hazard","needs both"))))</f>
        <v>43.7670594649549</v>
      </c>
      <c r="M65" s="13" t="n">
        <f aca="false">IF(ISNUMBER(L65),RANK(L65,$L$2:$L$300),"")</f>
        <v>64</v>
      </c>
      <c r="N65" s="18" t="n">
        <f aca="false">IFERROR(MATCH($A65,Scores!$A$2:$A$300,0),"")</f>
        <v>72</v>
      </c>
      <c r="O65" s="18" t="n">
        <f aca="false">IFERROR(MATCH($A65,Species!$A$2:$A$300,0),"")</f>
        <v>66</v>
      </c>
    </row>
    <row r="66" customFormat="false" ht="15" hidden="false" customHeight="true" outlineLevel="0" collapsed="false">
      <c r="A66" s="13" t="s">
        <v>72</v>
      </c>
      <c r="B66" s="13" t="str">
        <f aca="false">IFERROR(INDEX(Species!$B$2:$B$300,$O66),"NOT IN SPECIES")</f>
        <v>Southern coral snake</v>
      </c>
      <c r="C66" s="13" t="str">
        <f aca="false">IFERROR(INDEX(Species!$C$2:$C$300,$O66)&amp;"","")</f>
        <v/>
      </c>
      <c r="D66" s="14" t="n">
        <f aca="false">IFERROR(INDEX(Species!$G$2:$G$300,$O66),"")</f>
        <v>0.63</v>
      </c>
      <c r="E66" s="15" t="n">
        <f aca="false">IFERROR(INDEX(Species!$L$2:$L$300,$O66),"")</f>
        <v>30</v>
      </c>
      <c r="F66" s="16" t="n">
        <f aca="false">IFERROR(INDEX(Scores!$C$2:$C$300,$N66),"")</f>
        <v>50.0488798683839</v>
      </c>
      <c r="G66" s="17" t="n">
        <f aca="false">IFERROR(INDEX(Scores!$M$2:$M$300,$N66),"")</f>
        <v>27.7777777777778</v>
      </c>
      <c r="H66" s="17" t="n">
        <f aca="false">IFERROR(INDEX(Scores!$N$2:$N$300,$N66),"")</f>
        <v>30</v>
      </c>
      <c r="I66" s="17" t="n">
        <f aca="false">IFERROR(INDEX(Scores!$O$2:$O$300,$N66),"")</f>
        <v>50</v>
      </c>
      <c r="J66" s="17" t="n">
        <f aca="false">IFERROR(INDEX(Scores!$P$2:$P$300,$N66),"")</f>
        <v>50</v>
      </c>
      <c r="K66" s="16" t="n">
        <f aca="false">IFERROR(INDEX(Scores!$E$2:$E$300,$N66),"")</f>
        <v>36.8376068376068</v>
      </c>
      <c r="L66" s="16" t="n">
        <f aca="false">IF(w_haz+w_risk&lt;=0,"",IF(AND(OR(w_haz=0,ISNUMBER(F66)),OR(w_risk=0,ISNUMBER(K66))),(w_haz*N(F66)+w_risk*N(K66))/(w_haz*ISNUMBER(F66)+w_risk*ISNUMBER(K66)),IF(ISNUMBER(F66),"needs Human Risk",IF(ISNUMBER(K66),"needs Venom Hazard","needs both"))))</f>
        <v>43.4432433529954</v>
      </c>
      <c r="M66" s="13" t="n">
        <f aca="false">IF(ISNUMBER(L66),RANK(L66,$L$2:$L$300),"")</f>
        <v>66</v>
      </c>
      <c r="N66" s="18" t="n">
        <f aca="false">IFERROR(MATCH($A66,Scores!$A$2:$A$300,0),"")</f>
        <v>55</v>
      </c>
      <c r="O66" s="18" t="n">
        <f aca="false">IFERROR(MATCH($A66,Species!$A$2:$A$300,0),"")</f>
        <v>43</v>
      </c>
    </row>
    <row r="67" customFormat="false" ht="15" hidden="false" customHeight="true" outlineLevel="0" collapsed="false">
      <c r="A67" s="13" t="s">
        <v>86</v>
      </c>
      <c r="B67" s="13" t="str">
        <f aca="false">IFERROR(INDEX(Species!$B$2:$B$300,$O67),"NOT IN SPECIES")</f>
        <v>Eyelash palm pit viper</v>
      </c>
      <c r="C67" s="13" t="str">
        <f aca="false">IFERROR(INDEX(Species!$C$2:$C$300,$O67)&amp;"","")</f>
        <v>Eyelash viper</v>
      </c>
      <c r="D67" s="14" t="n">
        <f aca="false">IFERROR(INDEX(Species!$G$2:$G$300,$O67),"")</f>
        <v>1.6</v>
      </c>
      <c r="E67" s="15" t="n">
        <f aca="false">IFERROR(INDEX(Species!$L$2:$L$300,$O67),"")</f>
        <v>20</v>
      </c>
      <c r="F67" s="16" t="n">
        <f aca="false">IFERROR(INDEX(Scores!$C$2:$C$300,$N67),"")</f>
        <v>38.7922640308298</v>
      </c>
      <c r="G67" s="17" t="n">
        <f aca="false">IFERROR(INDEX(Scores!$M$2:$M$300,$N67),"")</f>
        <v>27.7777777777778</v>
      </c>
      <c r="H67" s="17" t="n">
        <f aca="false">IFERROR(INDEX(Scores!$N$2:$N$300,$N67),"")</f>
        <v>50</v>
      </c>
      <c r="I67" s="17" t="n">
        <f aca="false">IFERROR(INDEX(Scores!$O$2:$O$300,$N67),"")</f>
        <v>90</v>
      </c>
      <c r="J67" s="17" t="n">
        <f aca="false">IFERROR(INDEX(Scores!$P$2:$P$300,$N67),"")</f>
        <v>30</v>
      </c>
      <c r="K67" s="16" t="n">
        <f aca="false">IFERROR(INDEX(Scores!$E$2:$E$300,$N67),"")</f>
        <v>47.6068376068376</v>
      </c>
      <c r="L67" s="16" t="n">
        <f aca="false">IF(w_haz+w_risk&lt;=0,"",IF(AND(OR(w_haz=0,ISNUMBER(F67)),OR(w_risk=0,ISNUMBER(K67))),(w_haz*N(F67)+w_risk*N(K67))/(w_haz*ISNUMBER(F67)+w_risk*ISNUMBER(K67)),IF(ISNUMBER(F67),"needs Human Risk",IF(ISNUMBER(K67),"needs Venom Hazard","needs both"))))</f>
        <v>43.1995508188337</v>
      </c>
      <c r="M67" s="13" t="n">
        <f aca="false">IF(ISNUMBER(L67),RANK(L67,$L$2:$L$300),"")</f>
        <v>67</v>
      </c>
      <c r="N67" s="18" t="n">
        <f aca="false">IFERROR(MATCH($A67,Scores!$A$2:$A$300,0),"")</f>
        <v>69</v>
      </c>
      <c r="O67" s="18" t="n">
        <f aca="false">IFERROR(MATCH($A67,Species!$A$2:$A$300,0),"")</f>
        <v>50</v>
      </c>
    </row>
    <row r="68" customFormat="false" ht="15" hidden="false" customHeight="true" outlineLevel="0" collapsed="false">
      <c r="A68" s="13" t="s">
        <v>48</v>
      </c>
      <c r="B68" s="13" t="str">
        <f aca="false">IFERROR(INDEX(Species!$B$2:$B$300,$O68),"NOT IN SPECIES")</f>
        <v>Tiger rattlesnake</v>
      </c>
      <c r="C68" s="13" t="str">
        <f aca="false">IFERROR(INDEX(Species!$C$2:$C$300,$O68)&amp;"","")</f>
        <v/>
      </c>
      <c r="D68" s="14" t="n">
        <f aca="false">IFERROR(INDEX(Species!$G$2:$G$300,$O68),"")</f>
        <v>0.06</v>
      </c>
      <c r="E68" s="15" t="n">
        <f aca="false">IFERROR(INDEX(Species!$L$2:$L$300,$O68),"")</f>
        <v>11</v>
      </c>
      <c r="F68" s="16" t="n">
        <f aca="false">IFERROR(INDEX(Scores!$C$2:$C$300,$N68),"")</f>
        <v>64.685218169368</v>
      </c>
      <c r="G68" s="17" t="n">
        <f aca="false">IFERROR(INDEX(Scores!$M$2:$M$300,$N68),"")</f>
        <v>18.8888888888889</v>
      </c>
      <c r="H68" s="17" t="n">
        <f aca="false">IFERROR(INDEX(Scores!$N$2:$N$300,$N68),"")</f>
        <v>30</v>
      </c>
      <c r="I68" s="17" t="n">
        <f aca="false">IFERROR(INDEX(Scores!$O$2:$O$300,$N68),"")</f>
        <v>30</v>
      </c>
      <c r="J68" s="17" t="n">
        <f aca="false">IFERROR(INDEX(Scores!$P$2:$P$300,$N68),"")</f>
        <v>10</v>
      </c>
      <c r="K68" s="16" t="n">
        <f aca="false">IFERROR(INDEX(Scores!$E$2:$E$300,$N68),"")</f>
        <v>22.6495726495726</v>
      </c>
      <c r="L68" s="16" t="n">
        <f aca="false">IF(w_haz+w_risk&lt;=0,"",IF(AND(OR(w_haz=0,ISNUMBER(F68)),OR(w_risk=0,ISNUMBER(K68))),(w_haz*N(F68)+w_risk*N(K68))/(w_haz*ISNUMBER(F68)+w_risk*ISNUMBER(K68)),IF(ISNUMBER(F68),"needs Human Risk",IF(ISNUMBER(K68),"needs Venom Hazard","needs both"))))</f>
        <v>43.6673954094703</v>
      </c>
      <c r="M68" s="13" t="n">
        <f aca="false">IF(ISNUMBER(L68),RANK(L68,$L$2:$L$300),"")</f>
        <v>65</v>
      </c>
      <c r="N68" s="18" t="n">
        <f aca="false">IFERROR(MATCH($A68,Scores!$A$2:$A$300,0),"")</f>
        <v>31</v>
      </c>
      <c r="O68" s="18" t="n">
        <f aca="false">IFERROR(MATCH($A68,Species!$A$2:$A$300,0),"")</f>
        <v>28</v>
      </c>
    </row>
    <row r="69" customFormat="false" ht="15" hidden="false" customHeight="true" outlineLevel="0" collapsed="false">
      <c r="A69" s="13" t="s">
        <v>81</v>
      </c>
      <c r="B69" s="13" t="str">
        <f aca="false">IFERROR(INDEX(Species!$B$2:$B$300,$O69),"NOT IN SPECIES")</f>
        <v>Central American coral snake</v>
      </c>
      <c r="C69" s="13" t="str">
        <f aca="false">IFERROR(INDEX(Species!$C$2:$C$300,$O69)&amp;"","")</f>
        <v>Black-banded coral snake</v>
      </c>
      <c r="D69" s="14" t="n">
        <f aca="false">IFERROR(INDEX(Species!$G$2:$G$300,$O69),"")</f>
        <v>0.4</v>
      </c>
      <c r="E69" s="15" t="n">
        <f aca="false">IFERROR(INDEX(Species!$L$2:$L$300,$O69),"")</f>
        <v>8</v>
      </c>
      <c r="F69" s="16" t="n">
        <f aca="false">IFERROR(INDEX(Scores!$C$2:$C$300,$N69),"")</f>
        <v>45.2154778804936</v>
      </c>
      <c r="G69" s="17" t="n">
        <f aca="false">IFERROR(INDEX(Scores!$M$2:$M$300,$N69),"")</f>
        <v>27.7777777777778</v>
      </c>
      <c r="H69" s="17" t="n">
        <f aca="false">IFERROR(INDEX(Scores!$N$2:$N$300,$N69),"")</f>
        <v>30</v>
      </c>
      <c r="I69" s="17" t="n">
        <f aca="false">IFERROR(INDEX(Scores!$O$2:$O$300,$N69),"")</f>
        <v>70</v>
      </c>
      <c r="J69" s="17" t="n">
        <f aca="false">IFERROR(INDEX(Scores!$P$2:$P$300,$N69),"")</f>
        <v>30</v>
      </c>
      <c r="K69" s="16" t="n">
        <f aca="false">IFERROR(INDEX(Scores!$E$2:$E$300,$N69),"")</f>
        <v>38.3760683760684</v>
      </c>
      <c r="L69" s="16" t="n">
        <f aca="false">IF(w_haz+w_risk&lt;=0,"",IF(AND(OR(w_haz=0,ISNUMBER(F69)),OR(w_risk=0,ISNUMBER(K69))),(w_haz*N(F69)+w_risk*N(K69))/(w_haz*ISNUMBER(F69)+w_risk*ISNUMBER(K69)),IF(ISNUMBER(F69),"needs Human Risk",IF(ISNUMBER(K69),"needs Venom Hazard","needs both"))))</f>
        <v>41.795773128281</v>
      </c>
      <c r="M69" s="13" t="n">
        <f aca="false">IF(ISNUMBER(L69),RANK(L69,$L$2:$L$300),"")</f>
        <v>68</v>
      </c>
      <c r="N69" s="18" t="n">
        <f aca="false">IFERROR(MATCH($A69,Scores!$A$2:$A$300,0),"")</f>
        <v>64</v>
      </c>
      <c r="O69" s="18" t="n">
        <f aca="false">IFERROR(MATCH($A69,Species!$A$2:$A$300,0),"")</f>
        <v>86</v>
      </c>
    </row>
    <row r="70" customFormat="false" ht="15" hidden="false" customHeight="true" outlineLevel="0" collapsed="false">
      <c r="A70" s="13" t="s">
        <v>83</v>
      </c>
      <c r="B70" s="13" t="str">
        <f aca="false">IFERROR(INDEX(Species!$B$2:$B$300,$O70),"NOT IN SPECIES")</f>
        <v>Common blacksnake</v>
      </c>
      <c r="C70" s="13" t="str">
        <f aca="false">IFERROR(INDEX(Species!$C$2:$C$300,$O70)&amp;"","")</f>
        <v>Red-bellied black snake</v>
      </c>
      <c r="D70" s="14" t="n">
        <f aca="false">IFERROR(INDEX(Species!$G$2:$G$300,$O70),"")</f>
        <v>2.52</v>
      </c>
      <c r="E70" s="15" t="n">
        <f aca="false">IFERROR(INDEX(Species!$L$2:$L$300,$O70),"")</f>
        <v>50</v>
      </c>
      <c r="F70" s="16" t="n">
        <f aca="false">IFERROR(INDEX(Scores!$C$2:$C$300,$N70),"")</f>
        <v>40.8717301885516</v>
      </c>
      <c r="G70" s="17" t="n">
        <f aca="false">IFERROR(INDEX(Scores!$M$2:$M$300,$N70),"")</f>
        <v>54.4444444444444</v>
      </c>
      <c r="H70" s="17" t="n">
        <f aca="false">IFERROR(INDEX(Scores!$N$2:$N$300,$N70),"")</f>
        <v>30</v>
      </c>
      <c r="I70" s="17" t="n">
        <f aca="false">IFERROR(INDEX(Scores!$O$2:$O$300,$N70),"")</f>
        <v>50</v>
      </c>
      <c r="J70" s="17" t="n">
        <f aca="false">IFERROR(INDEX(Scores!$P$2:$P$300,$N70),"")</f>
        <v>10</v>
      </c>
      <c r="K70" s="16" t="n">
        <f aca="false">IFERROR(INDEX(Scores!$E$2:$E$300,$N70),"")</f>
        <v>40.9401709401709</v>
      </c>
      <c r="L70" s="16" t="n">
        <f aca="false">IF(w_haz+w_risk&lt;=0,"",IF(AND(OR(w_haz=0,ISNUMBER(F70)),OR(w_risk=0,ISNUMBER(K70))),(w_haz*N(F70)+w_risk*N(K70))/(w_haz*ISNUMBER(F70)+w_risk*ISNUMBER(K70)),IF(ISNUMBER(F70),"needs Human Risk",IF(ISNUMBER(K70),"needs Venom Hazard","needs both"))))</f>
        <v>40.9059505643613</v>
      </c>
      <c r="M70" s="13" t="n">
        <f aca="false">IF(ISNUMBER(L70),RANK(L70,$L$2:$L$300),"")</f>
        <v>69</v>
      </c>
      <c r="N70" s="18" t="n">
        <f aca="false">IFERROR(MATCH($A70,Scores!$A$2:$A$300,0),"")</f>
        <v>66</v>
      </c>
      <c r="O70" s="18" t="n">
        <f aca="false">IFERROR(MATCH($A70,Species!$A$2:$A$300,0),"")</f>
        <v>34</v>
      </c>
    </row>
    <row r="71" customFormat="false" ht="15" hidden="false" customHeight="true" outlineLevel="0" collapsed="false">
      <c r="A71" s="13" t="s">
        <v>61</v>
      </c>
      <c r="B71" s="13" t="str">
        <f aca="false">IFERROR(INDEX(Species!$B$2:$B$300,$O71),"NOT IN SPECIES")</f>
        <v>Elegant sea snake</v>
      </c>
      <c r="C71" s="13" t="str">
        <f aca="false">IFERROR(INDEX(Species!$C$2:$C$300,$O71)&amp;"","")</f>
        <v>Bar-bellied sea snake</v>
      </c>
      <c r="D71" s="14" t="n">
        <f aca="false">IFERROR(INDEX(Species!$G$2:$G$300,$O71),"")</f>
        <v>0.27</v>
      </c>
      <c r="E71" s="15" t="n">
        <f aca="false">IFERROR(INDEX(Species!$L$2:$L$300,$O71),"")</f>
        <v>24</v>
      </c>
      <c r="F71" s="16" t="n">
        <f aca="false">IFERROR(INDEX(Scores!$C$2:$C$300,$N71),"")</f>
        <v>56.262893815273</v>
      </c>
      <c r="G71" s="17" t="n">
        <f aca="false">IFERROR(INDEX(Scores!$M$2:$M$300,$N71),"")</f>
        <v>10</v>
      </c>
      <c r="H71" s="17" t="n">
        <f aca="false">IFERROR(INDEX(Scores!$N$2:$N$300,$N71),"")</f>
        <v>10</v>
      </c>
      <c r="I71" s="17" t="n">
        <f aca="false">IFERROR(INDEX(Scores!$O$2:$O$300,$N71),"")</f>
        <v>50</v>
      </c>
      <c r="J71" s="17" t="n">
        <f aca="false">IFERROR(INDEX(Scores!$P$2:$P$300,$N71),"")</f>
        <v>50</v>
      </c>
      <c r="K71" s="16" t="n">
        <f aca="false">IFERROR(INDEX(Scores!$E$2:$E$300,$N71),"")</f>
        <v>25.3846153846154</v>
      </c>
      <c r="L71" s="16" t="n">
        <f aca="false">IF(w_haz+w_risk&lt;=0,"",IF(AND(OR(w_haz=0,ISNUMBER(F71)),OR(w_risk=0,ISNUMBER(K71))),(w_haz*N(F71)+w_risk*N(K71))/(w_haz*ISNUMBER(F71)+w_risk*ISNUMBER(K71)),IF(ISNUMBER(F71),"needs Human Risk",IF(ISNUMBER(K71),"needs Venom Hazard","needs both"))))</f>
        <v>40.8237545999442</v>
      </c>
      <c r="M71" s="13" t="n">
        <f aca="false">IF(ISNUMBER(L71),RANK(L71,$L$2:$L$300),"")</f>
        <v>72</v>
      </c>
      <c r="N71" s="18" t="n">
        <f aca="false">IFERROR(MATCH($A71,Scores!$A$2:$A$300,0),"")</f>
        <v>44</v>
      </c>
      <c r="O71" s="18" t="n">
        <f aca="false">IFERROR(MATCH($A71,Species!$A$2:$A$300,0),"")</f>
        <v>63</v>
      </c>
    </row>
    <row r="72" customFormat="false" ht="15" hidden="false" customHeight="true" outlineLevel="0" collapsed="false">
      <c r="A72" s="13" t="s">
        <v>78</v>
      </c>
      <c r="B72" s="13" t="str">
        <f aca="false">IFERROR(INDEX(Species!$B$2:$B$300,$O72),"NOT IN SPECIES")</f>
        <v>Harlequin coral snake</v>
      </c>
      <c r="C72" s="13" t="str">
        <f aca="false">IFERROR(INDEX(Species!$C$2:$C$300,$O72)&amp;"","")</f>
        <v>Eastern coral snake</v>
      </c>
      <c r="D72" s="14" t="n">
        <f aca="false">IFERROR(INDEX(Species!$G$2:$G$300,$O72),"")</f>
        <v>0.2</v>
      </c>
      <c r="E72" s="15" t="n">
        <f aca="false">IFERROR(INDEX(Species!$L$2:$L$300,$O72),"")</f>
        <v>5</v>
      </c>
      <c r="F72" s="16" t="n">
        <f aca="false">IFERROR(INDEX(Scores!$C$2:$C$300,$N72),"")</f>
        <v>48.3465429891341</v>
      </c>
      <c r="G72" s="17" t="n">
        <f aca="false">IFERROR(INDEX(Scores!$M$2:$M$300,$N72),"")</f>
        <v>18.8888888888889</v>
      </c>
      <c r="H72" s="17" t="n">
        <f aca="false">IFERROR(INDEX(Scores!$N$2:$N$300,$N72),"")</f>
        <v>30</v>
      </c>
      <c r="I72" s="17" t="n">
        <f aca="false">IFERROR(INDEX(Scores!$O$2:$O$300,$N72),"")</f>
        <v>50</v>
      </c>
      <c r="J72" s="17" t="n">
        <f aca="false">IFERROR(INDEX(Scores!$P$2:$P$300,$N72),"")</f>
        <v>50</v>
      </c>
      <c r="K72" s="16" t="n">
        <f aca="false">IFERROR(INDEX(Scores!$E$2:$E$300,$N72),"")</f>
        <v>33.4188034188034</v>
      </c>
      <c r="L72" s="16" t="n">
        <f aca="false">IF(w_haz+w_risk&lt;=0,"",IF(AND(OR(w_haz=0,ISNUMBER(F72)),OR(w_risk=0,ISNUMBER(K72))),(w_haz*N(F72)+w_risk*N(K72))/(w_haz*ISNUMBER(F72)+w_risk*ISNUMBER(K72)),IF(ISNUMBER(F72),"needs Human Risk",IF(ISNUMBER(K72),"needs Venom Hazard","needs both"))))</f>
        <v>40.8826732039688</v>
      </c>
      <c r="M72" s="13" t="n">
        <f aca="false">IF(ISNUMBER(L72),RANK(L72,$L$2:$L$300),"")</f>
        <v>71</v>
      </c>
      <c r="N72" s="18" t="n">
        <f aca="false">IFERROR(MATCH($A72,Scores!$A$2:$A$300,0),"")</f>
        <v>61</v>
      </c>
      <c r="O72" s="18" t="n">
        <f aca="false">IFERROR(MATCH($A72,Species!$A$2:$A$300,0),"")</f>
        <v>44</v>
      </c>
    </row>
    <row r="73" customFormat="false" ht="15" hidden="false" customHeight="true" outlineLevel="0" collapsed="false">
      <c r="A73" s="13" t="s">
        <v>63</v>
      </c>
      <c r="B73" s="13" t="str">
        <f aca="false">IFERROR(INDEX(Species!$B$2:$B$300,$O73),"NOT IN SPECIES")</f>
        <v>Yellow-bellied sea snake</v>
      </c>
      <c r="C73" s="13" t="str">
        <f aca="false">IFERROR(INDEX(Species!$C$2:$C$300,$O73)&amp;"","")</f>
        <v>Pelagic sea snake</v>
      </c>
      <c r="D73" s="14" t="n">
        <f aca="false">IFERROR(INDEX(Species!$G$2:$G$300,$O73),"")</f>
        <v>0.07</v>
      </c>
      <c r="E73" s="15" t="n">
        <f aca="false">IFERROR(INDEX(Species!$L$2:$L$300,$O73),"")</f>
        <v>4</v>
      </c>
      <c r="F73" s="16" t="n">
        <f aca="false">IFERROR(INDEX(Scores!$C$2:$C$300,$N73),"")</f>
        <v>56.4081178721317</v>
      </c>
      <c r="G73" s="17" t="n">
        <f aca="false">IFERROR(INDEX(Scores!$M$2:$M$300,$N73),"")</f>
        <v>10</v>
      </c>
      <c r="H73" s="17" t="n">
        <f aca="false">IFERROR(INDEX(Scores!$N$2:$N$300,$N73),"")</f>
        <v>10</v>
      </c>
      <c r="I73" s="17" t="n">
        <f aca="false">IFERROR(INDEX(Scores!$O$2:$O$300,$N73),"")</f>
        <v>50</v>
      </c>
      <c r="J73" s="17" t="n">
        <f aca="false">IFERROR(INDEX(Scores!$P$2:$P$300,$N73),"")</f>
        <v>50</v>
      </c>
      <c r="K73" s="16" t="n">
        <f aca="false">IFERROR(INDEX(Scores!$E$2:$E$300,$N73),"")</f>
        <v>25.3846153846154</v>
      </c>
      <c r="L73" s="16" t="n">
        <f aca="false">IF(w_haz+w_risk&lt;=0,"",IF(AND(OR(w_haz=0,ISNUMBER(F73)),OR(w_risk=0,ISNUMBER(K73))),(w_haz*N(F73)+w_risk*N(K73))/(w_haz*ISNUMBER(F73)+w_risk*ISNUMBER(K73)),IF(ISNUMBER(F73),"needs Human Risk",IF(ISNUMBER(K73),"needs Venom Hazard","needs both"))))</f>
        <v>40.8963666283735</v>
      </c>
      <c r="M73" s="13" t="n">
        <f aca="false">IF(ISNUMBER(L73),RANK(L73,$L$2:$L$300),"")</f>
        <v>70</v>
      </c>
      <c r="N73" s="18" t="n">
        <f aca="false">IFERROR(MATCH($A73,Scores!$A$2:$A$300,0),"")</f>
        <v>46</v>
      </c>
      <c r="O73" s="18" t="n">
        <f aca="false">IFERROR(MATCH($A73,Species!$A$2:$A$300,0),"")</f>
        <v>39</v>
      </c>
    </row>
    <row r="74" customFormat="false" ht="15" hidden="false" customHeight="true" outlineLevel="0" collapsed="false">
      <c r="A74" s="13" t="s">
        <v>76</v>
      </c>
      <c r="B74" s="13" t="str">
        <f aca="false">IFERROR(INDEX(Species!$B$2:$B$300,$O74),"NOT IN SPECIES")</f>
        <v>Dubois' sea snake</v>
      </c>
      <c r="C74" s="13" t="str">
        <f aca="false">IFERROR(INDEX(Species!$C$2:$C$300,$O74)&amp;"","")</f>
        <v>Reef shallows sea snake</v>
      </c>
      <c r="D74" s="14" t="n">
        <f aca="false">IFERROR(INDEX(Species!$G$2:$G$300,$O74),"")</f>
        <v>0.04</v>
      </c>
      <c r="E74" s="15" t="n">
        <f aca="false">IFERROR(INDEX(Species!$L$2:$L$300,$O74),"")</f>
        <v>0.7</v>
      </c>
      <c r="F74" s="16" t="n">
        <f aca="false">IFERROR(INDEX(Scores!$C$2:$C$300,$N74),"")</f>
        <v>49.6749852074957</v>
      </c>
      <c r="G74" s="17" t="n">
        <f aca="false">IFERROR(INDEX(Scores!$M$2:$M$300,$N74),"")</f>
        <v>10</v>
      </c>
      <c r="H74" s="17" t="n">
        <f aca="false">IFERROR(INDEX(Scores!$N$2:$N$300,$N74),"")</f>
        <v>30</v>
      </c>
      <c r="I74" s="17" t="n">
        <f aca="false">IFERROR(INDEX(Scores!$O$2:$O$300,$N74),"")</f>
        <v>50</v>
      </c>
      <c r="J74" s="17" t="n">
        <f aca="false">IFERROR(INDEX(Scores!$P$2:$P$300,$N74),"")</f>
        <v>50</v>
      </c>
      <c r="K74" s="16" t="n">
        <f aca="false">IFERROR(INDEX(Scores!$E$2:$E$300,$N74),"")</f>
        <v>30</v>
      </c>
      <c r="L74" s="16" t="n">
        <f aca="false">IF(w_haz+w_risk&lt;=0,"",IF(AND(OR(w_haz=0,ISNUMBER(F74)),OR(w_risk=0,ISNUMBER(K74))),(w_haz*N(F74)+w_risk*N(K74))/(w_haz*ISNUMBER(F74)+w_risk*ISNUMBER(K74)),IF(ISNUMBER(F74),"needs Human Risk",IF(ISNUMBER(K74),"needs Venom Hazard","needs both"))))</f>
        <v>39.8374926037478</v>
      </c>
      <c r="M74" s="13" t="n">
        <f aca="false">IF(ISNUMBER(L74),RANK(L74,$L$2:$L$300),"")</f>
        <v>73</v>
      </c>
      <c r="N74" s="18" t="n">
        <f aca="false">IFERROR(MATCH($A74,Scores!$A$2:$A$300,0),"")</f>
        <v>59</v>
      </c>
      <c r="O74" s="18" t="n">
        <f aca="false">IFERROR(MATCH($A74,Species!$A$2:$A$300,0),"")</f>
        <v>48</v>
      </c>
    </row>
    <row r="75" customFormat="false" ht="15" hidden="false" customHeight="true" outlineLevel="0" collapsed="false">
      <c r="A75" s="13" t="s">
        <v>87</v>
      </c>
      <c r="B75" s="13" t="str">
        <f aca="false">IFERROR(INDEX(Species!$B$2:$B$300,$O75),"NOT IN SPECIES")</f>
        <v>Pygmy rattlesnake</v>
      </c>
      <c r="C75" s="13" t="str">
        <f aca="false">IFERROR(INDEX(Species!$C$2:$C$300,$O75)&amp;"","")</f>
        <v>Ground rattler</v>
      </c>
      <c r="D75" s="14" t="n">
        <f aca="false">IFERROR(INDEX(Species!$G$2:$G$300,$O75),"")</f>
        <v>2.8</v>
      </c>
      <c r="E75" s="15" t="n">
        <f aca="false">IFERROR(INDEX(Species!$L$2:$L$300,$O75),"")</f>
        <v>35</v>
      </c>
      <c r="F75" s="16" t="n">
        <f aca="false">IFERROR(INDEX(Scores!$C$2:$C$300,$N75),"")</f>
        <v>37.488010529818</v>
      </c>
      <c r="G75" s="17" t="n">
        <f aca="false">IFERROR(INDEX(Scores!$M$2:$M$300,$N75),"")</f>
        <v>27.7777777777778</v>
      </c>
      <c r="H75" s="17" t="n">
        <f aca="false">IFERROR(INDEX(Scores!$N$2:$N$300,$N75),"")</f>
        <v>30</v>
      </c>
      <c r="I75" s="17" t="n">
        <f aca="false">IFERROR(INDEX(Scores!$O$2:$O$300,$N75),"")</f>
        <v>90</v>
      </c>
      <c r="J75" s="17" t="n">
        <f aca="false">IFERROR(INDEX(Scores!$P$2:$P$300,$N75),"")</f>
        <v>10</v>
      </c>
      <c r="K75" s="16" t="n">
        <f aca="false">IFERROR(INDEX(Scores!$E$2:$E$300,$N75),"")</f>
        <v>39.9145299145299</v>
      </c>
      <c r="L75" s="16" t="n">
        <f aca="false">IF(w_haz+w_risk&lt;=0,"",IF(AND(OR(w_haz=0,ISNUMBER(F75)),OR(w_risk=0,ISNUMBER(K75))),(w_haz*N(F75)+w_risk*N(K75))/(w_haz*ISNUMBER(F75)+w_risk*ISNUMBER(K75)),IF(ISNUMBER(F75),"needs Human Risk",IF(ISNUMBER(K75),"needs Venom Hazard","needs both"))))</f>
        <v>38.701270222174</v>
      </c>
      <c r="M75" s="13" t="n">
        <f aca="false">IF(ISNUMBER(L75),RANK(L75,$L$2:$L$300),"")</f>
        <v>74</v>
      </c>
      <c r="N75" s="18" t="n">
        <f aca="false">IFERROR(MATCH($A75,Scores!$A$2:$A$300,0),"")</f>
        <v>70</v>
      </c>
      <c r="O75" s="18" t="n">
        <f aca="false">IFERROR(MATCH($A75,Species!$A$2:$A$300,0),"")</f>
        <v>57</v>
      </c>
    </row>
    <row r="76" customFormat="false" ht="15" hidden="false" customHeight="true" outlineLevel="0" collapsed="false">
      <c r="A76" s="13" t="s">
        <v>84</v>
      </c>
      <c r="B76" s="13" t="str">
        <f aca="false">IFERROR(INDEX(Species!$B$2:$B$300,$O76),"NOT IN SPECIES")</f>
        <v>Sidewinder</v>
      </c>
      <c r="C76" s="13" t="str">
        <f aca="false">IFERROR(INDEX(Species!$C$2:$C$300,$O76)&amp;"","")</f>
        <v>Horned rattlesnake</v>
      </c>
      <c r="D76" s="14" t="n">
        <f aca="false">IFERROR(INDEX(Species!$G$2:$G$300,$O76),"")</f>
        <v>2.6</v>
      </c>
      <c r="E76" s="15" t="n">
        <f aca="false">IFERROR(INDEX(Species!$L$2:$L$300,$O76),"")</f>
        <v>50</v>
      </c>
      <c r="F76" s="16" t="n">
        <f aca="false">IFERROR(INDEX(Scores!$C$2:$C$300,$N76),"")</f>
        <v>40.5866237160727</v>
      </c>
      <c r="G76" s="17" t="n">
        <f aca="false">IFERROR(INDEX(Scores!$M$2:$M$300,$N76),"")</f>
        <v>18.8888888888889</v>
      </c>
      <c r="H76" s="17" t="n">
        <f aca="false">IFERROR(INDEX(Scores!$N$2:$N$300,$N76),"")</f>
        <v>30</v>
      </c>
      <c r="I76" s="17" t="n">
        <f aca="false">IFERROR(INDEX(Scores!$O$2:$O$300,$N76),"")</f>
        <v>90</v>
      </c>
      <c r="J76" s="17" t="n">
        <f aca="false">IFERROR(INDEX(Scores!$P$2:$P$300,$N76),"")</f>
        <v>10</v>
      </c>
      <c r="K76" s="16" t="n">
        <f aca="false">IFERROR(INDEX(Scores!$E$2:$E$300,$N76),"")</f>
        <v>36.4957264957265</v>
      </c>
      <c r="L76" s="16" t="n">
        <f aca="false">IF(w_haz+w_risk&lt;=0,"",IF(AND(OR(w_haz=0,ISNUMBER(F76)),OR(w_risk=0,ISNUMBER(K76))),(w_haz*N(F76)+w_risk*N(K76))/(w_haz*ISNUMBER(F76)+w_risk*ISNUMBER(K76)),IF(ISNUMBER(F76),"needs Human Risk",IF(ISNUMBER(K76),"needs Venom Hazard","needs both"))))</f>
        <v>38.5411751058996</v>
      </c>
      <c r="M76" s="13" t="n">
        <f aca="false">IF(ISNUMBER(L76),RANK(L76,$L$2:$L$300),"")</f>
        <v>75</v>
      </c>
      <c r="N76" s="18" t="n">
        <f aca="false">IFERROR(MATCH($A76,Scores!$A$2:$A$300,0),"")</f>
        <v>67</v>
      </c>
      <c r="O76" s="18" t="n">
        <f aca="false">IFERROR(MATCH($A76,Species!$A$2:$A$300,0),"")</f>
        <v>47</v>
      </c>
    </row>
    <row r="77" customFormat="false" ht="15" hidden="false" customHeight="true" outlineLevel="0" collapsed="false">
      <c r="A77" s="13" t="s">
        <v>88</v>
      </c>
      <c r="B77" s="13" t="str">
        <f aca="false">IFERROR(INDEX(Species!$B$2:$B$300,$O77),"NOT IN SPECIES")</f>
        <v>Mottled rock rattlesnake</v>
      </c>
      <c r="C77" s="13" t="str">
        <f aca="false">IFERROR(INDEX(Species!$C$2:$C$300,$O77)&amp;"","")</f>
        <v>Rock rattlesnake</v>
      </c>
      <c r="D77" s="14" t="n">
        <f aca="false">IFERROR(INDEX(Species!$G$2:$G$300,$O77),"")</f>
        <v>9</v>
      </c>
      <c r="E77" s="15" t="n">
        <f aca="false">IFERROR(INDEX(Species!$L$2:$L$300,$O77),"")</f>
        <v>129</v>
      </c>
      <c r="F77" s="16" t="n">
        <f aca="false">IFERROR(INDEX(Scores!$C$2:$C$300,$N77),"")</f>
        <v>35.6963161782212</v>
      </c>
      <c r="G77" s="17" t="n">
        <f aca="false">IFERROR(INDEX(Scores!$M$2:$M$300,$N77),"")</f>
        <v>27.7777777777778</v>
      </c>
      <c r="H77" s="17" t="n">
        <f aca="false">IFERROR(INDEX(Scores!$N$2:$N$300,$N77),"")</f>
        <v>30</v>
      </c>
      <c r="I77" s="17" t="n">
        <f aca="false">IFERROR(INDEX(Scores!$O$2:$O$300,$N77),"")</f>
        <v>90</v>
      </c>
      <c r="J77" s="17" t="n">
        <f aca="false">IFERROR(INDEX(Scores!$P$2:$P$300,$N77),"")</f>
        <v>10</v>
      </c>
      <c r="K77" s="16" t="n">
        <f aca="false">IFERROR(INDEX(Scores!$E$2:$E$300,$N77),"")</f>
        <v>39.9145299145299</v>
      </c>
      <c r="L77" s="16" t="n">
        <f aca="false">IF(w_haz+w_risk&lt;=0,"",IF(AND(OR(w_haz=0,ISNUMBER(F77)),OR(w_risk=0,ISNUMBER(K77))),(w_haz*N(F77)+w_risk*N(K77))/(w_haz*ISNUMBER(F77)+w_risk*ISNUMBER(K77)),IF(ISNUMBER(F77),"needs Human Risk",IF(ISNUMBER(K77),"needs Venom Hazard","needs both"))))</f>
        <v>37.8054230463755</v>
      </c>
      <c r="M77" s="13" t="n">
        <f aca="false">IF(ISNUMBER(L77),RANK(L77,$L$2:$L$300),"")</f>
        <v>76</v>
      </c>
      <c r="N77" s="18" t="n">
        <f aca="false">IFERROR(MATCH($A77,Scores!$A$2:$A$300,0),"")</f>
        <v>71</v>
      </c>
      <c r="O77" s="18" t="n">
        <f aca="false">IFERROR(MATCH($A77,Species!$A$2:$A$300,0),"")</f>
        <v>60</v>
      </c>
    </row>
    <row r="78" customFormat="false" ht="15" hidden="false" customHeight="true" outlineLevel="0" collapsed="false">
      <c r="A78" s="13" t="s">
        <v>79</v>
      </c>
      <c r="B78" s="13" t="str">
        <f aca="false">IFERROR(INDEX(Species!$B$2:$B$300,$O78),"NOT IN SPECIES")</f>
        <v>Annulated sea snake</v>
      </c>
      <c r="C78" s="13" t="str">
        <f aca="false">IFERROR(INDEX(Species!$C$2:$C$300,$O78)&amp;"","")</f>
        <v>Blue-banded sea snake</v>
      </c>
      <c r="D78" s="14" t="n">
        <f aca="false">IFERROR(INDEX(Species!$G$2:$G$300,$O78),"")</f>
        <v>0.35</v>
      </c>
      <c r="E78" s="15" t="n">
        <f aca="false">IFERROR(INDEX(Species!$L$2:$L$300,$O78),"")</f>
        <v>8</v>
      </c>
      <c r="F78" s="16" t="n">
        <f aca="false">IFERROR(INDEX(Scores!$C$2:$C$300,$N78),"")</f>
        <v>46.4336399898073</v>
      </c>
      <c r="G78" s="17" t="n">
        <f aca="false">IFERROR(INDEX(Scores!$M$2:$M$300,$N78),"")</f>
        <v>10</v>
      </c>
      <c r="H78" s="17" t="n">
        <f aca="false">IFERROR(INDEX(Scores!$N$2:$N$300,$N78),"")</f>
        <v>10</v>
      </c>
      <c r="I78" s="17" t="n">
        <f aca="false">IFERROR(INDEX(Scores!$O$2:$O$300,$N78),"")</f>
        <v>50</v>
      </c>
      <c r="J78" s="17" t="n">
        <f aca="false">IFERROR(INDEX(Scores!$P$2:$P$300,$N78),"")</f>
        <v>50</v>
      </c>
      <c r="K78" s="16" t="n">
        <f aca="false">IFERROR(INDEX(Scores!$E$2:$E$300,$N78),"")</f>
        <v>25.3846153846154</v>
      </c>
      <c r="L78" s="16" t="n">
        <f aca="false">IF(w_haz+w_risk&lt;=0,"",IF(AND(OR(w_haz=0,ISNUMBER(F78)),OR(w_risk=0,ISNUMBER(K78))),(w_haz*N(F78)+w_risk*N(K78))/(w_haz*ISNUMBER(F78)+w_risk*ISNUMBER(K78)),IF(ISNUMBER(F78),"needs Human Risk",IF(ISNUMBER(K78),"needs Venom Hazard","needs both"))))</f>
        <v>35.9091276872113</v>
      </c>
      <c r="M78" s="13" t="n">
        <f aca="false">IF(ISNUMBER(L78),RANK(L78,$L$2:$L$300),"")</f>
        <v>77</v>
      </c>
      <c r="N78" s="18" t="n">
        <f aca="false">IFERROR(MATCH($A78,Scores!$A$2:$A$300,0),"")</f>
        <v>62</v>
      </c>
      <c r="O78" s="18" t="n">
        <f aca="false">IFERROR(MATCH($A78,Species!$A$2:$A$300,0),"")</f>
        <v>62</v>
      </c>
    </row>
    <row r="79" customFormat="false" ht="15" hidden="false" customHeight="true" outlineLevel="0" collapsed="false">
      <c r="A79" s="13" t="s">
        <v>80</v>
      </c>
      <c r="B79" s="13" t="str">
        <f aca="false">IFERROR(INDEX(Species!$B$2:$B$300,$O79),"NOT IN SPECIES")</f>
        <v>Hardwicke's sea snake</v>
      </c>
      <c r="C79" s="13" t="str">
        <f aca="false">IFERROR(INDEX(Species!$C$2:$C$300,$O79)&amp;"","")</f>
        <v>Spine-bellied sea snake</v>
      </c>
      <c r="D79" s="14" t="n">
        <f aca="false">IFERROR(INDEX(Species!$G$2:$G$300,$O79),"")</f>
        <v>0.62</v>
      </c>
      <c r="E79" s="15" t="n">
        <f aca="false">IFERROR(INDEX(Species!$L$2:$L$300,$O79),"")</f>
        <v>15</v>
      </c>
      <c r="F79" s="16" t="n">
        <f aca="false">IFERROR(INDEX(Scores!$C$2:$C$300,$N79),"")</f>
        <v>45.486961218742</v>
      </c>
      <c r="G79" s="17" t="n">
        <f aca="false">IFERROR(INDEX(Scores!$M$2:$M$300,$N79),"")</f>
        <v>10</v>
      </c>
      <c r="H79" s="17" t="n">
        <f aca="false">IFERROR(INDEX(Scores!$N$2:$N$300,$N79),"")</f>
        <v>10</v>
      </c>
      <c r="I79" s="17" t="n">
        <f aca="false">IFERROR(INDEX(Scores!$O$2:$O$300,$N79),"")</f>
        <v>50</v>
      </c>
      <c r="J79" s="17" t="n">
        <f aca="false">IFERROR(INDEX(Scores!$P$2:$P$300,$N79),"")</f>
        <v>50</v>
      </c>
      <c r="K79" s="16" t="n">
        <f aca="false">IFERROR(INDEX(Scores!$E$2:$E$300,$N79),"")</f>
        <v>25.3846153846154</v>
      </c>
      <c r="L79" s="16" t="n">
        <f aca="false">IF(w_haz+w_risk&lt;=0,"",IF(AND(OR(w_haz=0,ISNUMBER(F79)),OR(w_risk=0,ISNUMBER(K79))),(w_haz*N(F79)+w_risk*N(K79))/(w_haz*ISNUMBER(F79)+w_risk*ISNUMBER(K79)),IF(ISNUMBER(F79),"needs Human Risk",IF(ISNUMBER(K79),"needs Venom Hazard","needs both"))))</f>
        <v>35.4357883016787</v>
      </c>
      <c r="M79" s="13" t="n">
        <f aca="false">IF(ISNUMBER(L79),RANK(L79,$L$2:$L$300),"")</f>
        <v>78</v>
      </c>
      <c r="N79" s="18" t="n">
        <f aca="false">IFERROR(MATCH($A79,Scores!$A$2:$A$300,0),"")</f>
        <v>63</v>
      </c>
      <c r="O79" s="18" t="n">
        <f aca="false">IFERROR(MATCH($A79,Species!$A$2:$A$300,0),"")</f>
        <v>46</v>
      </c>
    </row>
    <row r="80" customFormat="false" ht="15" hidden="false" customHeight="true" outlineLevel="0" collapsed="false">
      <c r="A80" s="13" t="s">
        <v>92</v>
      </c>
      <c r="B80" s="13" t="str">
        <f aca="false">IFERROR(INDEX(Species!$B$2:$B$300,$O80),"NOT IN SPECIES")</f>
        <v>Many-banded krait</v>
      </c>
      <c r="C80" s="13" t="str">
        <f aca="false">IFERROR(INDEX(Species!$C$2:$C$300,$O80)&amp;"","")</f>
        <v>Taiwanese krait; Chinese krait</v>
      </c>
      <c r="D80" s="14" t="n">
        <f aca="false">IFERROR(INDEX(Species!$G$2:$G$300,$O80),"")</f>
        <v>0.108</v>
      </c>
      <c r="E80" s="15" t="str">
        <f aca="false">IFERROR(INDEX(Species!$L$2:$L$300,$O80),"")</f>
        <v/>
      </c>
      <c r="F80" s="16" t="str">
        <f aca="false">IFERROR(INDEX(Scores!$C$2:$C$300,$N80),"")</f>
        <v>needs yield</v>
      </c>
      <c r="G80" s="17" t="n">
        <f aca="false">IFERROR(INDEX(Scores!$M$2:$M$300,$N80),"")</f>
        <v>72.2222222222222</v>
      </c>
      <c r="H80" s="17" t="n">
        <f aca="false">IFERROR(INDEX(Scores!$N$2:$N$300,$N80),"")</f>
        <v>30</v>
      </c>
      <c r="I80" s="17" t="n">
        <f aca="false">IFERROR(INDEX(Scores!$O$2:$O$300,$N80),"")</f>
        <v>30</v>
      </c>
      <c r="J80" s="17" t="n">
        <f aca="false">IFERROR(INDEX(Scores!$P$2:$P$300,$N80),"")</f>
        <v>30</v>
      </c>
      <c r="K80" s="16" t="n">
        <f aca="false">IFERROR(INDEX(Scores!$E$2:$E$300,$N80),"")</f>
        <v>46.2393162393162</v>
      </c>
      <c r="L80" s="16" t="str">
        <f aca="false">IF(w_haz+w_risk&lt;=0,"",IF(AND(OR(w_haz=0,ISNUMBER(F80)),OR(w_risk=0,ISNUMBER(K80))),(w_haz*N(F80)+w_risk*N(K80))/(w_haz*ISNUMBER(F80)+w_risk*ISNUMBER(K80)),IF(ISNUMBER(F80),"needs Human Risk",IF(ISNUMBER(K80),"needs Venom Hazard","needs both"))))</f>
        <v>needs Venom Hazard</v>
      </c>
      <c r="M80" s="13" t="str">
        <f aca="false">IF(ISNUMBER(L80),RANK(L80,$L$2:$L$300),"")</f>
        <v/>
      </c>
      <c r="N80" s="18" t="n">
        <f aca="false">IFERROR(MATCH($A80,Scores!$A$2:$A$300,0),"")</f>
        <v>75</v>
      </c>
      <c r="O80" s="18" t="n">
        <f aca="false">IFERROR(MATCH($A80,Species!$A$2:$A$300,0),"")</f>
        <v>80</v>
      </c>
    </row>
    <row r="81" customFormat="false" ht="15" hidden="false" customHeight="true" outlineLevel="0" collapsed="false">
      <c r="A81" s="13" t="s">
        <v>93</v>
      </c>
      <c r="B81" s="13" t="str">
        <f aca="false">IFERROR(INDEX(Species!$B$2:$B$300,$O81),"NOT IN SPECIES")</f>
        <v>Speckled rattlesnake</v>
      </c>
      <c r="C81" s="13" t="str">
        <f aca="false">IFERROR(INDEX(Species!$C$2:$C$300,$O81)&amp;"","")</f>
        <v/>
      </c>
      <c r="D81" s="14" t="n">
        <f aca="false">IFERROR(INDEX(Species!$G$2:$G$300,$O81),"")</f>
        <v>0.21</v>
      </c>
      <c r="E81" s="15" t="str">
        <f aca="false">IFERROR(INDEX(Species!$L$2:$L$300,$O81),"")</f>
        <v/>
      </c>
      <c r="F81" s="16" t="str">
        <f aca="false">IFERROR(INDEX(Scores!$C$2:$C$300,$N81),"")</f>
        <v>needs yield</v>
      </c>
      <c r="G81" s="17" t="n">
        <f aca="false">IFERROR(INDEX(Scores!$M$2:$M$300,$N81),"")</f>
        <v>27.7777777777778</v>
      </c>
      <c r="H81" s="17" t="n">
        <f aca="false">IFERROR(INDEX(Scores!$N$2:$N$300,$N81),"")</f>
        <v>50</v>
      </c>
      <c r="I81" s="17" t="n">
        <f aca="false">IFERROR(INDEX(Scores!$O$2:$O$300,$N81),"")</f>
        <v>90</v>
      </c>
      <c r="J81" s="17" t="n">
        <f aca="false">IFERROR(INDEX(Scores!$P$2:$P$300,$N81),"")</f>
        <v>10</v>
      </c>
      <c r="K81" s="16" t="n">
        <f aca="false">IFERROR(INDEX(Scores!$E$2:$E$300,$N81),"")</f>
        <v>44.5299145299145</v>
      </c>
      <c r="L81" s="16" t="str">
        <f aca="false">IF(w_haz+w_risk&lt;=0,"",IF(AND(OR(w_haz=0,ISNUMBER(F81)),OR(w_risk=0,ISNUMBER(K81))),(w_haz*N(F81)+w_risk*N(K81))/(w_haz*ISNUMBER(F81)+w_risk*ISNUMBER(K81)),IF(ISNUMBER(F81),"needs Human Risk",IF(ISNUMBER(K81),"needs Venom Hazard","needs both"))))</f>
        <v>needs Venom Hazard</v>
      </c>
      <c r="M81" s="13" t="str">
        <f aca="false">IF(ISNUMBER(L81),RANK(L81,$L$2:$L$300),"")</f>
        <v/>
      </c>
      <c r="N81" s="18" t="n">
        <f aca="false">IFERROR(MATCH($A81,Scores!$A$2:$A$300,0),"")</f>
        <v>76</v>
      </c>
      <c r="O81" s="18" t="n">
        <f aca="false">IFERROR(MATCH($A81,Species!$A$2:$A$300,0),"")</f>
        <v>90</v>
      </c>
    </row>
    <row r="82" customFormat="false" ht="15" hidden="false" customHeight="true" outlineLevel="0" collapsed="false">
      <c r="A82" s="13" t="s">
        <v>94</v>
      </c>
      <c r="B82" s="13" t="str">
        <f aca="false">IFERROR(INDEX(Species!$B$2:$B$300,$O82),"NOT IN SPECIES")</f>
        <v>Small-eyed snake</v>
      </c>
      <c r="C82" s="13" t="str">
        <f aca="false">IFERROR(INDEX(Species!$C$2:$C$300,$O82)&amp;"","")</f>
        <v/>
      </c>
      <c r="D82" s="14" t="n">
        <f aca="false">IFERROR(INDEX(Species!$G$2:$G$300,$O82),"")</f>
        <v>2.67</v>
      </c>
      <c r="E82" s="15" t="str">
        <f aca="false">IFERROR(INDEX(Species!$L$2:$L$300,$O82),"")</f>
        <v/>
      </c>
      <c r="F82" s="16" t="str">
        <f aca="false">IFERROR(INDEX(Scores!$C$2:$C$300,$N82),"")</f>
        <v>needs yield</v>
      </c>
      <c r="G82" s="17" t="str">
        <f aca="false">IFERROR(INDEX(Scores!$M$2:$M$300,$N82),"")</f>
        <v/>
      </c>
      <c r="H82" s="17" t="str">
        <f aca="false">IFERROR(INDEX(Scores!$N$2:$N$300,$N82),"")</f>
        <v/>
      </c>
      <c r="I82" s="17" t="str">
        <f aca="false">IFERROR(INDEX(Scores!$O$2:$O$300,$N82),"")</f>
        <v/>
      </c>
      <c r="J82" s="17" t="str">
        <f aca="false">IFERROR(INDEX(Scores!$P$2:$P$300,$N82),"")</f>
        <v/>
      </c>
      <c r="K82" s="16" t="str">
        <f aca="false">IFERROR(INDEX(Scores!$E$2:$E$300,$N82),"")</f>
        <v>insufficient data</v>
      </c>
      <c r="L82" s="16" t="str">
        <f aca="false">IF(w_haz+w_risk&lt;=0,"",IF(AND(OR(w_haz=0,ISNUMBER(F82)),OR(w_risk=0,ISNUMBER(K82))),(w_haz*N(F82)+w_risk*N(K82))/(w_haz*ISNUMBER(F82)+w_risk*ISNUMBER(K82)),IF(ISNUMBER(F82),"needs Human Risk",IF(ISNUMBER(K82),"needs Venom Hazard","needs both"))))</f>
        <v>needs both</v>
      </c>
      <c r="M82" s="13" t="str">
        <f aca="false">IF(ISNUMBER(L82),RANK(L82,$L$2:$L$300),"")</f>
        <v/>
      </c>
      <c r="N82" s="18" t="n">
        <f aca="false">IFERROR(MATCH($A82,Scores!$A$2:$A$300,0),"")</f>
        <v>77</v>
      </c>
      <c r="O82" s="18" t="n">
        <f aca="false">IFERROR(MATCH($A82,Species!$A$2:$A$300,0),"")</f>
        <v>93</v>
      </c>
    </row>
    <row r="83" customFormat="false" ht="15" hidden="false" customHeight="true" outlineLevel="0" collapsed="false">
      <c r="A83" s="13" t="s">
        <v>95</v>
      </c>
      <c r="B83" s="13" t="str">
        <f aca="false">IFERROR(INDEX(Species!$B$2:$B$300,$O83),"NOT IN SPECIES")</f>
        <v>Hundred-pace pit viper</v>
      </c>
      <c r="C83" s="13" t="str">
        <f aca="false">IFERROR(INDEX(Species!$C$2:$C$300,$O83)&amp;"","")</f>
        <v>Sharp-nosed viper; Chinese moccasin</v>
      </c>
      <c r="D83" s="14" t="n">
        <f aca="false">IFERROR(INDEX(Species!$G$2:$G$300,$O83),"")</f>
        <v>0.38</v>
      </c>
      <c r="E83" s="15" t="str">
        <f aca="false">IFERROR(INDEX(Species!$L$2:$L$300,$O83),"")</f>
        <v/>
      </c>
      <c r="F83" s="16" t="str">
        <f aca="false">IFERROR(INDEX(Scores!$C$2:$C$300,$N83),"")</f>
        <v>needs yield</v>
      </c>
      <c r="G83" s="17" t="n">
        <f aca="false">IFERROR(INDEX(Scores!$M$2:$M$300,$N83),"")</f>
        <v>63.3333333333333</v>
      </c>
      <c r="H83" s="17" t="n">
        <f aca="false">IFERROR(INDEX(Scores!$N$2:$N$300,$N83),"")</f>
        <v>50</v>
      </c>
      <c r="I83" s="17" t="n">
        <f aca="false">IFERROR(INDEX(Scores!$O$2:$O$300,$N83),"")</f>
        <v>70</v>
      </c>
      <c r="J83" s="17" t="n">
        <f aca="false">IFERROR(INDEX(Scores!$P$2:$P$300,$N83),"")</f>
        <v>30</v>
      </c>
      <c r="K83" s="16" t="n">
        <f aca="false">IFERROR(INDEX(Scores!$E$2:$E$300,$N83),"")</f>
        <v>56.6666666666667</v>
      </c>
      <c r="L83" s="16" t="str">
        <f aca="false">IF(w_haz+w_risk&lt;=0,"",IF(AND(OR(w_haz=0,ISNUMBER(F83)),OR(w_risk=0,ISNUMBER(K83))),(w_haz*N(F83)+w_risk*N(K83))/(w_haz*ISNUMBER(F83)+w_risk*ISNUMBER(K83)),IF(ISNUMBER(F83),"needs Human Risk",IF(ISNUMBER(K83),"needs Venom Hazard","needs both"))))</f>
        <v>needs Venom Hazard</v>
      </c>
      <c r="M83" s="13" t="str">
        <f aca="false">IF(ISNUMBER(L83),RANK(L83,$L$2:$L$300),"")</f>
        <v/>
      </c>
      <c r="N83" s="18" t="n">
        <f aca="false">IFERROR(MATCH($A83,Scores!$A$2:$A$300,0),"")</f>
        <v>78</v>
      </c>
      <c r="O83" s="18" t="n">
        <f aca="false">IFERROR(MATCH($A83,Species!$A$2:$A$300,0),"")</f>
        <v>85</v>
      </c>
    </row>
    <row r="84" customFormat="false" ht="15" hidden="false" customHeight="true" outlineLevel="0" collapsed="false">
      <c r="A84" s="13" t="s">
        <v>96</v>
      </c>
      <c r="B84" s="13" t="str">
        <f aca="false">IFERROR(INDEX(Species!$B$2:$B$300,$O84),"NOT IN SPECIES")</f>
        <v>Olive whip snake</v>
      </c>
      <c r="C84" s="13" t="str">
        <f aca="false">IFERROR(INDEX(Species!$C$2:$C$300,$O84)&amp;"","")</f>
        <v/>
      </c>
      <c r="D84" s="14" t="n">
        <f aca="false">IFERROR(INDEX(Species!$G$2:$G$300,$O84),"")</f>
        <v>714.2</v>
      </c>
      <c r="E84" s="15" t="str">
        <f aca="false">IFERROR(INDEX(Species!$L$2:$L$300,$O84),"")</f>
        <v/>
      </c>
      <c r="F84" s="16" t="str">
        <f aca="false">IFERROR(INDEX(Scores!$C$2:$C$300,$N84),"")</f>
        <v>needs yield</v>
      </c>
      <c r="G84" s="17" t="str">
        <f aca="false">IFERROR(INDEX(Scores!$M$2:$M$300,$N84),"")</f>
        <v/>
      </c>
      <c r="H84" s="17" t="str">
        <f aca="false">IFERROR(INDEX(Scores!$N$2:$N$300,$N84),"")</f>
        <v/>
      </c>
      <c r="I84" s="17" t="str">
        <f aca="false">IFERROR(INDEX(Scores!$O$2:$O$300,$N84),"")</f>
        <v/>
      </c>
      <c r="J84" s="17" t="str">
        <f aca="false">IFERROR(INDEX(Scores!$P$2:$P$300,$N84),"")</f>
        <v/>
      </c>
      <c r="K84" s="16" t="str">
        <f aca="false">IFERROR(INDEX(Scores!$E$2:$E$300,$N84),"")</f>
        <v>insufficient data</v>
      </c>
      <c r="L84" s="16" t="str">
        <f aca="false">IF(w_haz+w_risk&lt;=0,"",IF(AND(OR(w_haz=0,ISNUMBER(F84)),OR(w_risk=0,ISNUMBER(K84))),(w_haz*N(F84)+w_risk*N(K84))/(w_haz*ISNUMBER(F84)+w_risk*ISNUMBER(K84)),IF(ISNUMBER(F84),"needs Human Risk",IF(ISNUMBER(K84),"needs Venom Hazard","needs both"))))</f>
        <v>needs both</v>
      </c>
      <c r="M84" s="13" t="str">
        <f aca="false">IF(ISNUMBER(L84),RANK(L84,$L$2:$L$300),"")</f>
        <v/>
      </c>
      <c r="N84" s="18" t="n">
        <f aca="false">IFERROR(MATCH($A84,Scores!$A$2:$A$300,0),"")</f>
        <v>79</v>
      </c>
      <c r="O84" s="18" t="n">
        <f aca="false">IFERROR(MATCH($A84,Species!$A$2:$A$300,0),"")</f>
        <v>94</v>
      </c>
    </row>
    <row r="85" customFormat="false" ht="15" hidden="false" customHeight="true" outlineLevel="0" collapsed="false">
      <c r="A85" s="13" t="s">
        <v>97</v>
      </c>
      <c r="B85" s="13" t="str">
        <f aca="false">IFERROR(INDEX(Species!$B$2:$B$300,$O85),"NOT IN SPECIES")</f>
        <v>Stephens' banded snake</v>
      </c>
      <c r="C85" s="13" t="str">
        <f aca="false">IFERROR(INDEX(Species!$C$2:$C$300,$O85)&amp;"","")</f>
        <v/>
      </c>
      <c r="D85" s="14" t="n">
        <f aca="false">IFERROR(INDEX(Species!$G$2:$G$300,$O85),"")</f>
        <v>1.36</v>
      </c>
      <c r="E85" s="15" t="str">
        <f aca="false">IFERROR(INDEX(Species!$L$2:$L$300,$O85),"")</f>
        <v/>
      </c>
      <c r="F85" s="16" t="str">
        <f aca="false">IFERROR(INDEX(Scores!$C$2:$C$300,$N85),"")</f>
        <v>needs yield</v>
      </c>
      <c r="G85" s="17" t="n">
        <f aca="false">IFERROR(INDEX(Scores!$M$2:$M$300,$N85),"")</f>
        <v>36.6666666666667</v>
      </c>
      <c r="H85" s="17" t="n">
        <f aca="false">IFERROR(INDEX(Scores!$N$2:$N$300,$N85),"")</f>
        <v>70</v>
      </c>
      <c r="I85" s="17" t="n">
        <f aca="false">IFERROR(INDEX(Scores!$O$2:$O$300,$N85),"")</f>
        <v>50</v>
      </c>
      <c r="J85" s="17" t="n">
        <f aca="false">IFERROR(INDEX(Scores!$P$2:$P$300,$N85),"")</f>
        <v>10</v>
      </c>
      <c r="K85" s="16" t="n">
        <f aca="false">IFERROR(INDEX(Scores!$E$2:$E$300,$N85),"")</f>
        <v>43.3333333333333</v>
      </c>
      <c r="L85" s="16" t="str">
        <f aca="false">IF(w_haz+w_risk&lt;=0,"",IF(AND(OR(w_haz=0,ISNUMBER(F85)),OR(w_risk=0,ISNUMBER(K85))),(w_haz*N(F85)+w_risk*N(K85))/(w_haz*ISNUMBER(F85)+w_risk*ISNUMBER(K85)),IF(ISNUMBER(F85),"needs Human Risk",IF(ISNUMBER(K85),"needs Venom Hazard","needs both"))))</f>
        <v>needs Venom Hazard</v>
      </c>
      <c r="M85" s="13" t="str">
        <f aca="false">IF(ISNUMBER(L85),RANK(L85,$L$2:$L$300),"")</f>
        <v/>
      </c>
      <c r="N85" s="18" t="n">
        <f aca="false">IFERROR(MATCH($A85,Scores!$A$2:$A$300,0),"")</f>
        <v>80</v>
      </c>
      <c r="O85" s="18" t="n">
        <f aca="false">IFERROR(MATCH($A85,Species!$A$2:$A$300,0),"")</f>
        <v>70</v>
      </c>
    </row>
    <row r="86" customFormat="false" ht="15" hidden="false" customHeight="true" outlineLevel="0" collapsed="false">
      <c r="A86" s="13" t="s">
        <v>98</v>
      </c>
      <c r="B86" s="13" t="str">
        <f aca="false">IFERROR(INDEX(Species!$B$2:$B$300,$O86),"NOT IN SPECIES")</f>
        <v>Belcher's sea snake</v>
      </c>
      <c r="C86" s="13" t="str">
        <f aca="false">IFERROR(INDEX(Species!$C$2:$C$300,$O86)&amp;"","")</f>
        <v>Faint-banded sea snake</v>
      </c>
      <c r="D86" s="14" t="n">
        <f aca="false">IFERROR(INDEX(Species!$G$2:$G$300,$O86),"")</f>
        <v>0.155</v>
      </c>
      <c r="E86" s="15" t="str">
        <f aca="false">IFERROR(INDEX(Species!$L$2:$L$300,$O86),"")</f>
        <v/>
      </c>
      <c r="F86" s="16" t="str">
        <f aca="false">IFERROR(INDEX(Scores!$C$2:$C$300,$N86),"")</f>
        <v>needs yield</v>
      </c>
      <c r="G86" s="17" t="n">
        <f aca="false">IFERROR(INDEX(Scores!$M$2:$M$300,$N86),"")</f>
        <v>10</v>
      </c>
      <c r="H86" s="17" t="n">
        <f aca="false">IFERROR(INDEX(Scores!$N$2:$N$300,$N86),"")</f>
        <v>10</v>
      </c>
      <c r="I86" s="17" t="n">
        <f aca="false">IFERROR(INDEX(Scores!$O$2:$O$300,$N86),"")</f>
        <v>50</v>
      </c>
      <c r="J86" s="17" t="n">
        <f aca="false">IFERROR(INDEX(Scores!$P$2:$P$300,$N86),"")</f>
        <v>50</v>
      </c>
      <c r="K86" s="16" t="n">
        <f aca="false">IFERROR(INDEX(Scores!$E$2:$E$300,$N86),"")</f>
        <v>25.3846153846154</v>
      </c>
      <c r="L86" s="16" t="str">
        <f aca="false">IF(w_haz+w_risk&lt;=0,"",IF(AND(OR(w_haz=0,ISNUMBER(F86)),OR(w_risk=0,ISNUMBER(K86))),(w_haz*N(F86)+w_risk*N(K86))/(w_haz*ISNUMBER(F86)+w_risk*ISNUMBER(K86)),IF(ISNUMBER(F86),"needs Human Risk",IF(ISNUMBER(K86),"needs Venom Hazard","needs both"))))</f>
        <v>needs Venom Hazard</v>
      </c>
      <c r="M86" s="13" t="str">
        <f aca="false">IF(ISNUMBER(L86),RANK(L86,$L$2:$L$300),"")</f>
        <v/>
      </c>
      <c r="N86" s="18" t="n">
        <f aca="false">IFERROR(MATCH($A86,Scores!$A$2:$A$300,0),"")</f>
        <v>81</v>
      </c>
      <c r="O86" s="18" t="n">
        <f aca="false">IFERROR(MATCH($A86,Species!$A$2:$A$300,0),"")</f>
        <v>82</v>
      </c>
    </row>
    <row r="87" customFormat="false" ht="15" hidden="false" customHeight="true" outlineLevel="0" collapsed="false">
      <c r="A87" s="13" t="s">
        <v>99</v>
      </c>
      <c r="B87" s="13" t="str">
        <f aca="false">IFERROR(INDEX(Species!$B$2:$B$300,$O87),"NOT IN SPECIES")</f>
        <v>Peron's sea snake</v>
      </c>
      <c r="C87" s="13" t="str">
        <f aca="false">IFERROR(INDEX(Species!$C$2:$C$300,$O87)&amp;"","")</f>
        <v>Horned sea snake</v>
      </c>
      <c r="D87" s="14" t="n">
        <f aca="false">IFERROR(INDEX(Species!$G$2:$G$300,$O87),"")</f>
        <v>0.079</v>
      </c>
      <c r="E87" s="15" t="str">
        <f aca="false">IFERROR(INDEX(Species!$L$2:$L$300,$O87),"")</f>
        <v/>
      </c>
      <c r="F87" s="16" t="str">
        <f aca="false">IFERROR(INDEX(Scores!$C$2:$C$300,$N87),"")</f>
        <v>needs yield</v>
      </c>
      <c r="G87" s="17" t="n">
        <f aca="false">IFERROR(INDEX(Scores!$M$2:$M$300,$N87),"")</f>
        <v>10</v>
      </c>
      <c r="H87" s="17" t="n">
        <f aca="false">IFERROR(INDEX(Scores!$N$2:$N$300,$N87),"")</f>
        <v>30</v>
      </c>
      <c r="I87" s="17" t="n">
        <f aca="false">IFERROR(INDEX(Scores!$O$2:$O$300,$N87),"")</f>
        <v>50</v>
      </c>
      <c r="J87" s="17" t="n">
        <f aca="false">IFERROR(INDEX(Scores!$P$2:$P$300,$N87),"")</f>
        <v>50</v>
      </c>
      <c r="K87" s="16" t="n">
        <f aca="false">IFERROR(INDEX(Scores!$E$2:$E$300,$N87),"")</f>
        <v>30</v>
      </c>
      <c r="L87" s="16" t="str">
        <f aca="false">IF(w_haz+w_risk&lt;=0,"",IF(AND(OR(w_haz=0,ISNUMBER(F87)),OR(w_risk=0,ISNUMBER(K87))),(w_haz*N(F87)+w_risk*N(K87))/(w_haz*ISNUMBER(F87)+w_risk*ISNUMBER(K87)),IF(ISNUMBER(F87),"needs Human Risk",IF(ISNUMBER(K87),"needs Venom Hazard","needs both"))))</f>
        <v>needs Venom Hazard</v>
      </c>
      <c r="M87" s="13" t="str">
        <f aca="false">IF(ISNUMBER(L87),RANK(L87,$L$2:$L$300),"")</f>
        <v/>
      </c>
      <c r="N87" s="18" t="n">
        <f aca="false">IFERROR(MATCH($A87,Scores!$A$2:$A$300,0),"")</f>
        <v>82</v>
      </c>
      <c r="O87" s="18" t="n">
        <f aca="false">IFERROR(MATCH($A87,Species!$A$2:$A$300,0),"")</f>
        <v>79</v>
      </c>
    </row>
    <row r="88" customFormat="false" ht="15" hidden="false" customHeight="true" outlineLevel="0" collapsed="false">
      <c r="A88" s="13" t="s">
        <v>100</v>
      </c>
      <c r="B88" s="13" t="str">
        <f aca="false">IFERROR(INDEX(Species!$B$2:$B$300,$O88),"NOT IN SPECIES")</f>
        <v>Yellow-lipped sea krait</v>
      </c>
      <c r="C88" s="13" t="str">
        <f aca="false">IFERROR(INDEX(Species!$C$2:$C$300,$O88)&amp;"","")</f>
        <v>Banded sea krait; Colubrine sea krait</v>
      </c>
      <c r="D88" s="14" t="n">
        <f aca="false">IFERROR(INDEX(Species!$G$2:$G$300,$O88),"")</f>
        <v>0.4</v>
      </c>
      <c r="E88" s="15" t="str">
        <f aca="false">IFERROR(INDEX(Species!$L$2:$L$300,$O88),"")</f>
        <v/>
      </c>
      <c r="F88" s="16" t="str">
        <f aca="false">IFERROR(INDEX(Scores!$C$2:$C$300,$N88),"")</f>
        <v>needs yield</v>
      </c>
      <c r="G88" s="17" t="n">
        <f aca="false">IFERROR(INDEX(Scores!$M$2:$M$300,$N88),"")</f>
        <v>27.7777777777778</v>
      </c>
      <c r="H88" s="17" t="n">
        <f aca="false">IFERROR(INDEX(Scores!$N$2:$N$300,$N88),"")</f>
        <v>30</v>
      </c>
      <c r="I88" s="17" t="n">
        <f aca="false">IFERROR(INDEX(Scores!$O$2:$O$300,$N88),"")</f>
        <v>50</v>
      </c>
      <c r="J88" s="17" t="n">
        <f aca="false">IFERROR(INDEX(Scores!$P$2:$P$300,$N88),"")</f>
        <v>50</v>
      </c>
      <c r="K88" s="16" t="n">
        <f aca="false">IFERROR(INDEX(Scores!$E$2:$E$300,$N88),"")</f>
        <v>36.8376068376068</v>
      </c>
      <c r="L88" s="16" t="str">
        <f aca="false">IF(w_haz+w_risk&lt;=0,"",IF(AND(OR(w_haz=0,ISNUMBER(F88)),OR(w_risk=0,ISNUMBER(K88))),(w_haz*N(F88)+w_risk*N(K88))/(w_haz*ISNUMBER(F88)+w_risk*ISNUMBER(K88)),IF(ISNUMBER(F88),"needs Human Risk",IF(ISNUMBER(K88),"needs Venom Hazard","needs both"))))</f>
        <v>needs Venom Hazard</v>
      </c>
      <c r="M88" s="13" t="str">
        <f aca="false">IF(ISNUMBER(L88),RANK(L88,$L$2:$L$300),"")</f>
        <v/>
      </c>
      <c r="N88" s="18" t="n">
        <f aca="false">IFERROR(MATCH($A88,Scores!$A$2:$A$300,0),"")</f>
        <v>83</v>
      </c>
      <c r="O88" s="18" t="n">
        <f aca="false">IFERROR(MATCH($A88,Species!$A$2:$A$300,0),"")</f>
        <v>87</v>
      </c>
    </row>
    <row r="89" customFormat="false" ht="15" hidden="false" customHeight="true" outlineLevel="0" collapsed="false">
      <c r="A89" s="13" t="s">
        <v>101</v>
      </c>
      <c r="B89" s="13" t="str">
        <f aca="false">IFERROR(INDEX(Species!$B$2:$B$300,$O89),"NOT IN SPECIES")</f>
        <v>Congo water cobra</v>
      </c>
      <c r="C89" s="13" t="str">
        <f aca="false">IFERROR(INDEX(Species!$C$2:$C$300,$O89)&amp;"","")</f>
        <v>Banded water cobra</v>
      </c>
      <c r="D89" s="14" t="n">
        <f aca="false">IFERROR(INDEX(Species!$G$2:$G$300,$O89),"")</f>
        <v>0.12</v>
      </c>
      <c r="E89" s="15" t="str">
        <f aca="false">IFERROR(INDEX(Species!$L$2:$L$300,$O89),"")</f>
        <v/>
      </c>
      <c r="F89" s="16" t="str">
        <f aca="false">IFERROR(INDEX(Scores!$C$2:$C$300,$N89),"")</f>
        <v>needs yield</v>
      </c>
      <c r="G89" s="17" t="n">
        <f aca="false">IFERROR(INDEX(Scores!$M$2:$M$300,$N89),"")</f>
        <v>18.8888888888889</v>
      </c>
      <c r="H89" s="17" t="str">
        <f aca="false">IFERROR(INDEX(Scores!$N$2:$N$300,$N89),"")</f>
        <v/>
      </c>
      <c r="I89" s="17" t="n">
        <f aca="false">IFERROR(INDEX(Scores!$O$2:$O$300,$N89),"")</f>
        <v>30</v>
      </c>
      <c r="J89" s="17" t="n">
        <f aca="false">IFERROR(INDEX(Scores!$P$2:$P$300,$N89),"")</f>
        <v>50</v>
      </c>
      <c r="K89" s="16" t="n">
        <f aca="false">IFERROR(INDEX(Scores!$E$2:$E$300,$N89),"")</f>
        <v>28.4444444444444</v>
      </c>
      <c r="L89" s="16" t="str">
        <f aca="false">IF(w_haz+w_risk&lt;=0,"",IF(AND(OR(w_haz=0,ISNUMBER(F89)),OR(w_risk=0,ISNUMBER(K89))),(w_haz*N(F89)+w_risk*N(K89))/(w_haz*ISNUMBER(F89)+w_risk*ISNUMBER(K89)),IF(ISNUMBER(F89),"needs Human Risk",IF(ISNUMBER(K89),"needs Venom Hazard","needs both"))))</f>
        <v>needs Venom Hazard</v>
      </c>
      <c r="M89" s="13" t="str">
        <f aca="false">IF(ISNUMBER(L89),RANK(L89,$L$2:$L$300),"")</f>
        <v/>
      </c>
      <c r="N89" s="18" t="n">
        <f aca="false">IFERROR(MATCH($A89,Scores!$A$2:$A$300,0),"")</f>
        <v>84</v>
      </c>
      <c r="O89" s="18" t="n">
        <f aca="false">IFERROR(MATCH($A89,Species!$A$2:$A$300,0),"")</f>
        <v>89</v>
      </c>
    </row>
    <row r="90" customFormat="false" ht="15" hidden="false" customHeight="true" outlineLevel="0" collapsed="false">
      <c r="A90" s="13" t="s">
        <v>102</v>
      </c>
      <c r="B90" s="13" t="str">
        <f aca="false">IFERROR(INDEX(Species!$B$2:$B$300,$O90),"NOT IN SPECIES")</f>
        <v>Central Ranges taipan</v>
      </c>
      <c r="C90" s="13" t="str">
        <f aca="false">IFERROR(INDEX(Species!$C$2:$C$300,$O90)&amp;"","")</f>
        <v>Western Desert taipan</v>
      </c>
      <c r="D90" s="14" t="n">
        <f aca="false">IFERROR(INDEX(Species!$G$2:$G$300,$O90),"")</f>
        <v>0.075</v>
      </c>
      <c r="E90" s="15" t="str">
        <f aca="false">IFERROR(INDEX(Species!$L$2:$L$300,$O90),"")</f>
        <v/>
      </c>
      <c r="F90" s="16" t="str">
        <f aca="false">IFERROR(INDEX(Scores!$C$2:$C$300,$N90),"")</f>
        <v>needs yield</v>
      </c>
      <c r="G90" s="17" t="n">
        <f aca="false">IFERROR(INDEX(Scores!$M$2:$M$300,$N90),"")</f>
        <v>10</v>
      </c>
      <c r="H90" s="17" t="str">
        <f aca="false">IFERROR(INDEX(Scores!$N$2:$N$300,$N90),"")</f>
        <v/>
      </c>
      <c r="I90" s="17" t="str">
        <f aca="false">IFERROR(INDEX(Scores!$O$2:$O$300,$N90),"")</f>
        <v/>
      </c>
      <c r="J90" s="17" t="n">
        <f aca="false">IFERROR(INDEX(Scores!$P$2:$P$300,$N90),"")</f>
        <v>10</v>
      </c>
      <c r="K90" s="16" t="str">
        <f aca="false">IFERROR(INDEX(Scores!$E$2:$E$300,$N90),"")</f>
        <v>insufficient data</v>
      </c>
      <c r="L90" s="16" t="str">
        <f aca="false">IF(w_haz+w_risk&lt;=0,"",IF(AND(OR(w_haz=0,ISNUMBER(F90)),OR(w_risk=0,ISNUMBER(K90))),(w_haz*N(F90)+w_risk*N(K90))/(w_haz*ISNUMBER(F90)+w_risk*ISNUMBER(K90)),IF(ISNUMBER(F90),"needs Human Risk",IF(ISNUMBER(K90),"needs Venom Hazard","needs both"))))</f>
        <v>needs both</v>
      </c>
      <c r="M90" s="13" t="str">
        <f aca="false">IF(ISNUMBER(L90),RANK(L90,$L$2:$L$300),"")</f>
        <v/>
      </c>
      <c r="N90" s="18" t="n">
        <f aca="false">IFERROR(MATCH($A90,Scores!$A$2:$A$300,0),"")</f>
        <v>85</v>
      </c>
      <c r="O90" s="18" t="n">
        <f aca="false">IFERROR(MATCH($A90,Species!$A$2:$A$300,0),"")</f>
        <v>78</v>
      </c>
    </row>
    <row r="91" customFormat="false" ht="15" hidden="false" customHeight="true" outlineLevel="0" collapsed="false">
      <c r="A91" s="13" t="s">
        <v>103</v>
      </c>
      <c r="B91" s="13" t="str">
        <f aca="false">IFERROR(INDEX(Species!$B$2:$B$300,$O91),"NOT IN SPECIES")</f>
        <v>Collett's snake</v>
      </c>
      <c r="C91" s="13" t="str">
        <f aca="false">IFERROR(INDEX(Species!$C$2:$C$300,$O91)&amp;"","")</f>
        <v>Collett's black snake; Down's tiger snake</v>
      </c>
      <c r="D91" s="14" t="n">
        <f aca="false">IFERROR(INDEX(Species!$G$2:$G$300,$O91),"")</f>
        <v>2.38</v>
      </c>
      <c r="E91" s="15" t="str">
        <f aca="false">IFERROR(INDEX(Species!$L$2:$L$300,$O91),"")</f>
        <v/>
      </c>
      <c r="F91" s="16" t="str">
        <f aca="false">IFERROR(INDEX(Scores!$C$2:$C$300,$N91),"")</f>
        <v>needs yield</v>
      </c>
      <c r="G91" s="17" t="n">
        <f aca="false">IFERROR(INDEX(Scores!$M$2:$M$300,$N91),"")</f>
        <v>36.6666666666667</v>
      </c>
      <c r="H91" s="17" t="n">
        <f aca="false">IFERROR(INDEX(Scores!$N$2:$N$300,$N91),"")</f>
        <v>30</v>
      </c>
      <c r="I91" s="17" t="n">
        <f aca="false">IFERROR(INDEX(Scores!$O$2:$O$300,$N91),"")</f>
        <v>50</v>
      </c>
      <c r="J91" s="17" t="n">
        <f aca="false">IFERROR(INDEX(Scores!$P$2:$P$300,$N91),"")</f>
        <v>10</v>
      </c>
      <c r="K91" s="16" t="n">
        <f aca="false">IFERROR(INDEX(Scores!$E$2:$E$300,$N91),"")</f>
        <v>34.1025641025641</v>
      </c>
      <c r="L91" s="16" t="str">
        <f aca="false">IF(w_haz+w_risk&lt;=0,"",IF(AND(OR(w_haz=0,ISNUMBER(F91)),OR(w_risk=0,ISNUMBER(K91))),(w_haz*N(F91)+w_risk*N(K91))/(w_haz*ISNUMBER(F91)+w_risk*ISNUMBER(K91)),IF(ISNUMBER(F91),"needs Human Risk",IF(ISNUMBER(K91),"needs Venom Hazard","needs both"))))</f>
        <v>needs Venom Hazard</v>
      </c>
      <c r="M91" s="13" t="str">
        <f aca="false">IF(ISNUMBER(L91),RANK(L91,$L$2:$L$300),"")</f>
        <v/>
      </c>
      <c r="N91" s="18" t="n">
        <f aca="false">IFERROR(MATCH($A91,Scores!$A$2:$A$300,0),"")</f>
        <v>86</v>
      </c>
      <c r="O91" s="18" t="n">
        <f aca="false">IFERROR(MATCH($A91,Species!$A$2:$A$300,0),"")</f>
        <v>73</v>
      </c>
    </row>
    <row r="92" customFormat="false" ht="15" hidden="false" customHeight="true" outlineLevel="0" collapsed="false">
      <c r="A92" s="13" t="s">
        <v>104</v>
      </c>
      <c r="B92" s="13" t="str">
        <f aca="false">IFERROR(INDEX(Species!$B$2:$B$300,$O92),"NOT IN SPECIES")</f>
        <v>Blue-bellied black snake</v>
      </c>
      <c r="C92" s="13" t="str">
        <f aca="false">IFERROR(INDEX(Species!$C$2:$C$300,$O92)&amp;"","")</f>
        <v>Spotted black snake</v>
      </c>
      <c r="D92" s="14" t="n">
        <f aca="false">IFERROR(INDEX(Species!$G$2:$G$300,$O92),"")</f>
        <v>2.13</v>
      </c>
      <c r="E92" s="15" t="str">
        <f aca="false">IFERROR(INDEX(Species!$L$2:$L$300,$O92),"")</f>
        <v/>
      </c>
      <c r="F92" s="16" t="str">
        <f aca="false">IFERROR(INDEX(Scores!$C$2:$C$300,$N92),"")</f>
        <v>needs yield</v>
      </c>
      <c r="G92" s="17" t="n">
        <f aca="false">IFERROR(INDEX(Scores!$M$2:$M$300,$N92),"")</f>
        <v>45.5555555555556</v>
      </c>
      <c r="H92" s="17" t="n">
        <f aca="false">IFERROR(INDEX(Scores!$N$2:$N$300,$N92),"")</f>
        <v>30</v>
      </c>
      <c r="I92" s="17" t="n">
        <f aca="false">IFERROR(INDEX(Scores!$O$2:$O$300,$N92),"")</f>
        <v>50</v>
      </c>
      <c r="J92" s="17" t="n">
        <f aca="false">IFERROR(INDEX(Scores!$P$2:$P$300,$N92),"")</f>
        <v>10</v>
      </c>
      <c r="K92" s="16" t="n">
        <f aca="false">IFERROR(INDEX(Scores!$E$2:$E$300,$N92),"")</f>
        <v>37.5213675213675</v>
      </c>
      <c r="L92" s="16" t="str">
        <f aca="false">IF(w_haz+w_risk&lt;=0,"",IF(AND(OR(w_haz=0,ISNUMBER(F92)),OR(w_risk=0,ISNUMBER(K92))),(w_haz*N(F92)+w_risk*N(K92))/(w_haz*ISNUMBER(F92)+w_risk*ISNUMBER(K92)),IF(ISNUMBER(F92),"needs Human Risk",IF(ISNUMBER(K92),"needs Venom Hazard","needs both"))))</f>
        <v>needs Venom Hazard</v>
      </c>
      <c r="M92" s="13" t="str">
        <f aca="false">IF(ISNUMBER(L92),RANK(L92,$L$2:$L$300),"")</f>
        <v/>
      </c>
      <c r="N92" s="18" t="n">
        <f aca="false">IFERROR(MATCH($A92,Scores!$A$2:$A$300,0),"")</f>
        <v>87</v>
      </c>
      <c r="O92" s="18" t="n">
        <f aca="false">IFERROR(MATCH($A92,Species!$A$2:$A$300,0),"")</f>
        <v>71</v>
      </c>
    </row>
    <row r="93" customFormat="false" ht="15" hidden="false" customHeight="true" outlineLevel="0" collapsed="false">
      <c r="A93" s="13" t="s">
        <v>107</v>
      </c>
      <c r="B93" s="13" t="str">
        <f aca="false">IFERROR(INDEX(Species!$B$2:$B$300,$O93),"NOT IN SPECIES")</f>
        <v>Speckled brown snake</v>
      </c>
      <c r="C93" s="13" t="str">
        <f aca="false">IFERROR(INDEX(Species!$C$2:$C$300,$O93)&amp;"","")</f>
        <v>Spotted brown snake</v>
      </c>
      <c r="D93" s="14" t="n">
        <f aca="false">IFERROR(INDEX(Species!$G$2:$G$300,$O93),"")</f>
        <v>0.36</v>
      </c>
      <c r="E93" s="15" t="str">
        <f aca="false">IFERROR(INDEX(Species!$L$2:$L$300,$O93),"")</f>
        <v/>
      </c>
      <c r="F93" s="16" t="str">
        <f aca="false">IFERROR(INDEX(Scores!$C$2:$C$300,$N93),"")</f>
        <v>needs yield</v>
      </c>
      <c r="G93" s="17" t="n">
        <f aca="false">IFERROR(INDEX(Scores!$M$2:$M$300,$N93),"")</f>
        <v>45.5555555555556</v>
      </c>
      <c r="H93" s="17" t="n">
        <f aca="false">IFERROR(INDEX(Scores!$N$2:$N$300,$N93),"")</f>
        <v>50</v>
      </c>
      <c r="I93" s="17" t="n">
        <f aca="false">IFERROR(INDEX(Scores!$O$2:$O$300,$N93),"")</f>
        <v>30</v>
      </c>
      <c r="J93" s="17" t="n">
        <f aca="false">IFERROR(INDEX(Scores!$P$2:$P$300,$N93),"")</f>
        <v>10</v>
      </c>
      <c r="K93" s="16" t="n">
        <f aca="false">IFERROR(INDEX(Scores!$E$2:$E$300,$N93),"")</f>
        <v>37.5213675213675</v>
      </c>
      <c r="L93" s="16" t="str">
        <f aca="false">IF(w_haz+w_risk&lt;=0,"",IF(AND(OR(w_haz=0,ISNUMBER(F93)),OR(w_risk=0,ISNUMBER(K93))),(w_haz*N(F93)+w_risk*N(K93))/(w_haz*ISNUMBER(F93)+w_risk*ISNUMBER(K93)),IF(ISNUMBER(F93),"needs Human Risk",IF(ISNUMBER(K93),"needs Venom Hazard","needs both"))))</f>
        <v>needs Venom Hazard</v>
      </c>
      <c r="M93" s="13" t="str">
        <f aca="false">IF(ISNUMBER(L93),RANK(L93,$L$2:$L$300),"")</f>
        <v/>
      </c>
      <c r="N93" s="18" t="n">
        <f aca="false">IFERROR(MATCH($A93,Scores!$A$2:$A$300,0),"")</f>
        <v>90</v>
      </c>
      <c r="O93" s="18" t="n">
        <f aca="false">IFERROR(MATCH($A93,Species!$A$2:$A$300,0),"")</f>
        <v>67</v>
      </c>
    </row>
    <row r="94" customFormat="false" ht="15" hidden="false" customHeight="true" outlineLevel="0" collapsed="false">
      <c r="A94" s="13" t="s">
        <v>109</v>
      </c>
      <c r="B94" s="13" t="str">
        <f aca="false">IFERROR(INDEX(Species!$B$2:$B$300,$O94),"NOT IN SPECIES")</f>
        <v>African birdsnake</v>
      </c>
      <c r="C94" s="13" t="str">
        <f aca="false">IFERROR(INDEX(Species!$C$2:$C$300,$O94)&amp;"","")</f>
        <v>Southern twig snake; Vine snake</v>
      </c>
      <c r="D94" s="14" t="n">
        <f aca="false">IFERROR(INDEX(Species!$G$2:$G$300,$O94),"")</f>
        <v>0.21</v>
      </c>
      <c r="E94" s="15" t="str">
        <f aca="false">IFERROR(INDEX(Species!$L$2:$L$300,$O94),"")</f>
        <v/>
      </c>
      <c r="F94" s="16" t="str">
        <f aca="false">IFERROR(INDEX(Scores!$C$2:$C$300,$N94),"")</f>
        <v>needs yield</v>
      </c>
      <c r="G94" s="17" t="n">
        <f aca="false">IFERROR(INDEX(Scores!$M$2:$M$300,$N94),"")</f>
        <v>27.7777777777778</v>
      </c>
      <c r="H94" s="17" t="n">
        <f aca="false">IFERROR(INDEX(Scores!$N$2:$N$300,$N94),"")</f>
        <v>10</v>
      </c>
      <c r="I94" s="17" t="n">
        <f aca="false">IFERROR(INDEX(Scores!$O$2:$O$300,$N94),"")</f>
        <v>90</v>
      </c>
      <c r="J94" s="17" t="n">
        <f aca="false">IFERROR(INDEX(Scores!$P$2:$P$300,$N94),"")</f>
        <v>90</v>
      </c>
      <c r="K94" s="16" t="n">
        <f aca="false">IFERROR(INDEX(Scores!$E$2:$E$300,$N94),"")</f>
        <v>47.6068376068376</v>
      </c>
      <c r="L94" s="16" t="str">
        <f aca="false">IF(w_haz+w_risk&lt;=0,"",IF(AND(OR(w_haz=0,ISNUMBER(F94)),OR(w_risk=0,ISNUMBER(K94))),(w_haz*N(F94)+w_risk*N(K94))/(w_haz*ISNUMBER(F94)+w_risk*ISNUMBER(K94)),IF(ISNUMBER(F94),"needs Human Risk",IF(ISNUMBER(K94),"needs Venom Hazard","needs both"))))</f>
        <v>needs Venom Hazard</v>
      </c>
      <c r="M94" s="13" t="str">
        <f aca="false">IF(ISNUMBER(L94),RANK(L94,$L$2:$L$300),"")</f>
        <v/>
      </c>
      <c r="N94" s="18" t="n">
        <f aca="false">IFERROR(MATCH($A94,Scores!$A$2:$A$300,0),"")</f>
        <v>92</v>
      </c>
      <c r="O94" s="18" t="n">
        <f aca="false">IFERROR(MATCH($A94,Species!$A$2:$A$300,0),"")</f>
        <v>83</v>
      </c>
    </row>
    <row r="95" customFormat="false" ht="15" hidden="false" customHeight="true" outlineLevel="0" collapsed="false">
      <c r="A95" s="13" t="s">
        <v>110</v>
      </c>
      <c r="B95" s="13" t="str">
        <f aca="false">IFERROR(INDEX(Species!$B$2:$B$300,$O95),"NOT IN SPECIES")</f>
        <v>Rough-scaled snake</v>
      </c>
      <c r="C95" s="13" t="str">
        <f aca="false">IFERROR(INDEX(Species!$C$2:$C$300,$O95)&amp;"","")</f>
        <v/>
      </c>
      <c r="D95" s="14" t="n">
        <f aca="false">IFERROR(INDEX(Species!$G$2:$G$300,$O95),"")</f>
        <v>1.36</v>
      </c>
      <c r="E95" s="15" t="str">
        <f aca="false">IFERROR(INDEX(Species!$L$2:$L$300,$O95),"")</f>
        <v/>
      </c>
      <c r="F95" s="16" t="str">
        <f aca="false">IFERROR(INDEX(Scores!$C$2:$C$300,$N95),"")</f>
        <v>needs yield</v>
      </c>
      <c r="G95" s="17" t="n">
        <f aca="false">IFERROR(INDEX(Scores!$M$2:$M$300,$N95),"")</f>
        <v>36.6666666666667</v>
      </c>
      <c r="H95" s="17" t="n">
        <f aca="false">IFERROR(INDEX(Scores!$N$2:$N$300,$N95),"")</f>
        <v>90</v>
      </c>
      <c r="I95" s="17" t="n">
        <f aca="false">IFERROR(INDEX(Scores!$O$2:$O$300,$N95),"")</f>
        <v>30</v>
      </c>
      <c r="J95" s="17" t="n">
        <f aca="false">IFERROR(INDEX(Scores!$P$2:$P$300,$N95),"")</f>
        <v>10</v>
      </c>
      <c r="K95" s="16" t="n">
        <f aca="false">IFERROR(INDEX(Scores!$E$2:$E$300,$N95),"")</f>
        <v>43.3333333333333</v>
      </c>
      <c r="L95" s="16" t="str">
        <f aca="false">IF(w_haz+w_risk&lt;=0,"",IF(AND(OR(w_haz=0,ISNUMBER(F95)),OR(w_risk=0,ISNUMBER(K95))),(w_haz*N(F95)+w_risk*N(K95))/(w_haz*ISNUMBER(F95)+w_risk*ISNUMBER(K95)),IF(ISNUMBER(F95),"needs Human Risk",IF(ISNUMBER(K95),"needs Venom Hazard","needs both"))))</f>
        <v>needs Venom Hazard</v>
      </c>
      <c r="M95" s="13" t="str">
        <f aca="false">IF(ISNUMBER(L95),RANK(L95,$L$2:$L$300),"")</f>
        <v/>
      </c>
      <c r="N95" s="18" t="n">
        <f aca="false">IFERROR(MATCH($A95,Scores!$A$2:$A$300,0),"")</f>
        <v>93</v>
      </c>
      <c r="O95" s="18" t="n">
        <f aca="false">IFERROR(MATCH($A95,Species!$A$2:$A$300,0),"")</f>
        <v>92</v>
      </c>
    </row>
  </sheetData>
  <autoFilter ref="A1:O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80" activePane="bottomRight" state="frozen"/>
      <selection pane="topLeft" activeCell="A1" activeCellId="0" sqref="A1"/>
      <selection pane="topRight" activeCell="B1" activeCellId="0" sqref="B1"/>
      <selection pane="bottomLeft" activeCell="A80" activeCellId="0" sqref="A80"/>
      <selection pane="bottomRight" activeCell="AE95" activeCellId="0" sqref="AE95"/>
    </sheetView>
  </sheetViews>
  <sheetFormatPr defaultColWidth="8.66796875" defaultRowHeight="14.25" zeroHeight="false" outlineLevelRow="0" outlineLevelCol="0"/>
  <cols>
    <col collapsed="false" customWidth="true" hidden="false" outlineLevel="0" max="1" min="1" style="0" width="26"/>
    <col collapsed="false" customWidth="true" hidden="false" outlineLevel="0" max="2" min="2" style="0" width="24"/>
    <col collapsed="false" customWidth="true" hidden="false" outlineLevel="0" max="3" min="3" style="0" width="26"/>
    <col collapsed="false" customWidth="true" hidden="false" outlineLevel="0" max="4" min="4" style="0" width="11"/>
    <col collapsed="false" customWidth="true" hidden="false" outlineLevel="0" max="6" min="5" style="0" width="24"/>
    <col collapsed="false" customWidth="true" hidden="false" outlineLevel="0" max="7" min="7" style="0" width="11"/>
    <col collapsed="false" customWidth="true" hidden="false" outlineLevel="0" max="8" min="8" style="0" width="8"/>
    <col collapsed="false" customWidth="true" hidden="false" outlineLevel="0" max="9" min="9" style="0" width="7"/>
    <col collapsed="false" customWidth="true" hidden="false" outlineLevel="0" max="10" min="10" style="0" width="9"/>
    <col collapsed="false" customWidth="true" hidden="false" outlineLevel="0" max="11" min="11" style="0" width="11"/>
    <col collapsed="false" customWidth="true" hidden="false" outlineLevel="0" max="12" min="12" style="0" width="10"/>
    <col collapsed="false" customWidth="true" hidden="false" outlineLevel="0" max="13" min="13" style="0" width="7"/>
    <col collapsed="false" customWidth="true" hidden="false" outlineLevel="0" max="14" min="14" style="0" width="9"/>
    <col collapsed="false" customWidth="true" hidden="false" outlineLevel="0" max="16" min="15" style="0" width="10"/>
    <col collapsed="false" customWidth="true" hidden="false" outlineLevel="0" max="17" min="17" style="0" width="24"/>
    <col collapsed="false" customWidth="true" hidden="false" outlineLevel="0" max="18" min="18" style="0" width="18"/>
    <col collapsed="false" customWidth="true" hidden="false" outlineLevel="0" max="20" min="19" style="0" width="20"/>
    <col collapsed="false" customWidth="true" hidden="false" outlineLevel="0" max="21" min="21" style="0" width="90"/>
    <col collapsed="false" customWidth="true" hidden="false" outlineLevel="0" max="29" min="22" style="0" width="11"/>
    <col collapsed="false" customWidth="true" hidden="false" outlineLevel="0" max="30" min="30" style="0" width="36"/>
    <col collapsed="false" customWidth="true" hidden="false" outlineLevel="0" max="31" min="31" style="0" width="60"/>
  </cols>
  <sheetData>
    <row r="1" customFormat="false" ht="42" hidden="false" customHeight="true" outlineLevel="0" collapsed="false">
      <c r="A1" s="1" t="s">
        <v>0</v>
      </c>
      <c r="B1" s="1" t="s">
        <v>1</v>
      </c>
      <c r="C1" s="1" t="s">
        <v>122</v>
      </c>
      <c r="D1" s="1" t="s">
        <v>123</v>
      </c>
      <c r="E1" s="1" t="s">
        <v>124</v>
      </c>
      <c r="F1" s="2" t="s">
        <v>125</v>
      </c>
      <c r="G1" s="2" t="s">
        <v>113</v>
      </c>
      <c r="H1" s="2" t="s">
        <v>126</v>
      </c>
      <c r="I1" s="2" t="s">
        <v>127</v>
      </c>
      <c r="J1" s="2" t="s">
        <v>128</v>
      </c>
      <c r="K1" s="2" t="s">
        <v>129</v>
      </c>
      <c r="L1" s="2" t="s">
        <v>114</v>
      </c>
      <c r="M1" s="2" t="s">
        <v>130</v>
      </c>
      <c r="N1" s="2" t="s">
        <v>131</v>
      </c>
      <c r="O1" s="1" t="s">
        <v>132</v>
      </c>
      <c r="P1" s="1" t="s">
        <v>133</v>
      </c>
      <c r="Q1" s="1" t="s">
        <v>134</v>
      </c>
      <c r="R1" s="1" t="s">
        <v>15</v>
      </c>
      <c r="S1" s="2" t="s">
        <v>8</v>
      </c>
      <c r="T1" s="2" t="s">
        <v>9</v>
      </c>
      <c r="U1" s="1" t="s">
        <v>135</v>
      </c>
      <c r="V1" s="1" t="s">
        <v>136</v>
      </c>
      <c r="W1" s="1" t="s">
        <v>137</v>
      </c>
      <c r="X1" s="1" t="s">
        <v>138</v>
      </c>
      <c r="Y1" s="1" t="s">
        <v>139</v>
      </c>
      <c r="Z1" s="1" t="s">
        <v>140</v>
      </c>
      <c r="AA1" s="1" t="s">
        <v>141</v>
      </c>
      <c r="AB1" s="1" t="s">
        <v>142</v>
      </c>
      <c r="AC1" s="1" t="s">
        <v>143</v>
      </c>
      <c r="AD1" s="1" t="s">
        <v>144</v>
      </c>
      <c r="AE1" s="1" t="s">
        <v>145</v>
      </c>
    </row>
    <row r="2" customFormat="false" ht="26.25" hidden="false" customHeight="true" outlineLevel="0" collapsed="false">
      <c r="A2" s="4" t="s">
        <v>18</v>
      </c>
      <c r="B2" s="5" t="s">
        <v>146</v>
      </c>
      <c r="C2" s="9" t="s">
        <v>147</v>
      </c>
      <c r="D2" s="5" t="s">
        <v>148</v>
      </c>
      <c r="E2" s="5" t="s">
        <v>149</v>
      </c>
      <c r="F2" s="11" t="str">
        <f aca="false">IF(COUNTIF(V2:AC2,"Y")=0,"",UPPER(MID(IF(V2="Y","/neurotoxic","")&amp;IF(W2="Y","/hemotoxic","")&amp;IF(X2="Y","/procoagulant","")&amp;IF(Y2="Y","/anticoagulant","")&amp;IF(Z2="Y","/hemorrhagic","")&amp;IF(AA2="Y","/cytotoxic","")&amp;IF(AB2="Y","/myotoxic","")&amp;IF(AC2="Y","/cardiotoxic",""),2,1))&amp;MID(IF(V2="Y","/neurotoxic","")&amp;IF(W2="Y","/hemotoxic","")&amp;IF(X2="Y","/procoagulant","")&amp;IF(Y2="Y","/anticoagulant","")&amp;IF(Z2="Y","/hemorrhagic","")&amp;IF(AA2="Y","/cytotoxic","")&amp;IF(AB2="Y","/myotoxic","")&amp;IF(AC2="Y","/cardiotoxic",""),3,200))</f>
        <v>Hemotoxic/procoagulant</v>
      </c>
      <c r="G2" s="19" t="n">
        <f aca="false">IFERROR(INDEX('LD50 Sources'!$C$2:$C$1000,MATCH($A2,'LD50 Sources'!$L$2:$L$1000,0)),"")</f>
        <v>0.03</v>
      </c>
      <c r="H2" s="11" t="str">
        <f aca="false">IFERROR(INDEX('LD50 Sources'!$D$2:$D$1000,MATCH($A2,'LD50 Sources'!$L$2:$L$1000,0))&amp;"","")</f>
        <v>SC</v>
      </c>
      <c r="I2" s="11" t="str">
        <f aca="false">IFERROR(INDEX('LD50 Sources'!$H$2:$H$1000,MATCH($A2,'LD50 Sources'!$L$2:$L$1000,0))&amp;"","")</f>
        <v>C</v>
      </c>
      <c r="J2" s="20" t="str">
        <f aca="false">IF(COUNTIFS('LD50 Sources'!$A$2:$A$1000,$A2,'LD50 Sources'!$K$2:$K$1000,1)&lt;2,"",ROUND(_xlfn.MAXIFS('LD50 Sources'!$C$2:$C$1000,'LD50 Sources'!$A$2:$A$1000,$A2,'LD50 Sources'!$K$2:$K$1000,1)/_xlfn.MINIFS('LD50 Sources'!$C$2:$C$1000,'LD50 Sources'!$A$2:$A$1000,$A2,'LD50 Sources'!$K$2:$K$1000,1),1))</f>
        <v/>
      </c>
      <c r="K2" s="21" t="n">
        <f aca="false">IFERROR(INDEX('Yield Sources'!$C$2:$C$1000,MATCH($A2,'Yield Sources'!$N$2:$N$1000,0)),"")</f>
        <v>130</v>
      </c>
      <c r="L2" s="21" t="n">
        <f aca="false">IFERROR(INDEX('Yield Sources'!$D$2:$D$1000,MATCH($A2,'Yield Sources'!$N$2:$N$1000,0)),"")</f>
        <v>250</v>
      </c>
      <c r="M2" s="11" t="str">
        <f aca="false">IFERROR(INDEX('Yield Sources'!$J$2:$J$1000,MATCH($A2,'Yield Sources'!$N$2:$N$1000,0))&amp;"","")</f>
        <v>C</v>
      </c>
      <c r="N2" s="20" t="str">
        <f aca="false">IF(COUNTIFS('Yield Sources'!$A$2:$A$1000,$A2,'Yield Sources'!$M$2:$M$1000,1)&lt;2,"",ROUND(_xlfn.MAXIFS('Yield Sources'!$D$2:$D$1000,'Yield Sources'!$A$2:$A$1000,$A2,'Yield Sources'!$M$2:$M$1000,1)/_xlfn.MINIFS('Yield Sources'!$D$2:$D$1000,'Yield Sources'!$A$2:$A$1000,$A2,'Yield Sources'!$M$2:$M$1000,1),1))</f>
        <v/>
      </c>
      <c r="O2" s="8" t="n">
        <v>10</v>
      </c>
      <c r="P2" s="8" t="n">
        <v>5</v>
      </c>
      <c r="Q2" s="5" t="s">
        <v>150</v>
      </c>
      <c r="R2" s="5" t="s">
        <v>151</v>
      </c>
      <c r="S2" s="11" t="str">
        <f aca="false">IFERROR(INDEX('Clinical Sources'!$M$2:$M$1000,MATCH($A2&amp;"|Annual deaths",'Clinical Sources'!$N$2:$N$1000,0)),"")</f>
        <v/>
      </c>
      <c r="T2" s="11" t="str">
        <f aca="false">IFERROR(INDEX('Clinical Sources'!$M$2:$M$1000,MATCH($A2&amp;"|Case-fatality rate",'Clinical Sources'!$N$2:$N$1000,0)),"")</f>
        <v/>
      </c>
      <c r="U2" s="9" t="s">
        <v>152</v>
      </c>
      <c r="V2" s="22"/>
      <c r="W2" s="22" t="s">
        <v>153</v>
      </c>
      <c r="X2" s="22" t="s">
        <v>153</v>
      </c>
      <c r="Y2" s="22"/>
      <c r="Z2" s="22"/>
      <c r="AA2" s="22"/>
      <c r="AB2" s="22"/>
      <c r="AC2" s="22"/>
      <c r="AD2" s="13" t="s">
        <v>154</v>
      </c>
      <c r="AE2" s="9" t="s">
        <v>155</v>
      </c>
    </row>
    <row r="3" customFormat="false" ht="26.25" hidden="false" customHeight="true" outlineLevel="0" collapsed="false">
      <c r="A3" s="4" t="s">
        <v>22</v>
      </c>
      <c r="B3" s="5" t="s">
        <v>156</v>
      </c>
      <c r="C3" s="9" t="s">
        <v>157</v>
      </c>
      <c r="D3" s="5" t="s">
        <v>148</v>
      </c>
      <c r="E3" s="5" t="s">
        <v>158</v>
      </c>
      <c r="F3" s="11" t="str">
        <f aca="false">IF(COUNTIF(V3:AC3,"Y")=0,"",UPPER(MID(IF(V3="Y","/neurotoxic","")&amp;IF(W3="Y","/hemotoxic","")&amp;IF(X3="Y","/procoagulant","")&amp;IF(Y3="Y","/anticoagulant","")&amp;IF(Z3="Y","/hemorrhagic","")&amp;IF(AA3="Y","/cytotoxic","")&amp;IF(AB3="Y","/myotoxic","")&amp;IF(AC3="Y","/cardiotoxic",""),2,1))&amp;MID(IF(V3="Y","/neurotoxic","")&amp;IF(W3="Y","/hemotoxic","")&amp;IF(X3="Y","/procoagulant","")&amp;IF(Y3="Y","/anticoagulant","")&amp;IF(Z3="Y","/hemorrhagic","")&amp;IF(AA3="Y","/cytotoxic","")&amp;IF(AB3="Y","/myotoxic","")&amp;IF(AC3="Y","/cardiotoxic",""),3,200))</f>
        <v>Hemotoxic/cytotoxic</v>
      </c>
      <c r="G3" s="19" t="n">
        <f aca="false">IFERROR(INDEX('LD50 Sources'!$C$2:$C$1000,MATCH($A3,'LD50 Sources'!$L$2:$L$1000,0)),"")</f>
        <v>0.14</v>
      </c>
      <c r="H3" s="11" t="str">
        <f aca="false">IFERROR(INDEX('LD50 Sources'!$D$2:$D$1000,MATCH($A3,'LD50 Sources'!$L$2:$L$1000,0))&amp;"","")</f>
        <v>SC</v>
      </c>
      <c r="I3" s="11" t="str">
        <f aca="false">IFERROR(INDEX('LD50 Sources'!$H$2:$H$1000,MATCH($A3,'LD50 Sources'!$L$2:$L$1000,0))&amp;"","")</f>
        <v>C</v>
      </c>
      <c r="J3" s="20" t="str">
        <f aca="false">IF(COUNTIFS('LD50 Sources'!$A$2:$A$1000,$A3,'LD50 Sources'!$K$2:$K$1000,1)&lt;2,"",ROUND(_xlfn.MAXIFS('LD50 Sources'!$C$2:$C$1000,'LD50 Sources'!$A$2:$A$1000,$A3,'LD50 Sources'!$K$2:$K$1000,1)/_xlfn.MINIFS('LD50 Sources'!$C$2:$C$1000,'LD50 Sources'!$A$2:$A$1000,$A3,'LD50 Sources'!$K$2:$K$1000,1),1))</f>
        <v/>
      </c>
      <c r="K3" s="21" t="n">
        <f aca="false">IFERROR(INDEX('Yield Sources'!$C$2:$C$1000,MATCH($A3,'Yield Sources'!$N$2:$N$1000,0)),"")</f>
        <v>350</v>
      </c>
      <c r="L3" s="21" t="n">
        <f aca="false">IFERROR(INDEX('Yield Sources'!$D$2:$D$1000,MATCH($A3,'Yield Sources'!$N$2:$N$1000,0)),"")</f>
        <v>600</v>
      </c>
      <c r="M3" s="11" t="str">
        <f aca="false">IFERROR(INDEX('Yield Sources'!$J$2:$J$1000,MATCH($A3,'Yield Sources'!$N$2:$N$1000,0))&amp;"","")</f>
        <v>C</v>
      </c>
      <c r="N3" s="20" t="str">
        <f aca="false">IF(COUNTIFS('Yield Sources'!$A$2:$A$1000,$A3,'Yield Sources'!$M$2:$M$1000,1)&lt;2,"",ROUND(_xlfn.MAXIFS('Yield Sources'!$D$2:$D$1000,'Yield Sources'!$A$2:$A$1000,$A3,'Yield Sources'!$M$2:$M$1000,1)/_xlfn.MINIFS('Yield Sources'!$D$2:$D$1000,'Yield Sources'!$A$2:$A$1000,$A3,'Yield Sources'!$M$2:$M$1000,1),1))</f>
        <v/>
      </c>
      <c r="O3" s="8" t="n">
        <v>3</v>
      </c>
      <c r="P3" s="8" t="n">
        <v>2</v>
      </c>
      <c r="Q3" s="5" t="s">
        <v>159</v>
      </c>
      <c r="R3" s="5" t="s">
        <v>160</v>
      </c>
      <c r="S3" s="11" t="str">
        <f aca="false">IFERROR(INDEX('Clinical Sources'!$M$2:$M$1000,MATCH($A3&amp;"|Annual deaths",'Clinical Sources'!$N$2:$N$1000,0)),"")</f>
        <v/>
      </c>
      <c r="T3" s="11" t="str">
        <f aca="false">IFERROR(INDEX('Clinical Sources'!$M$2:$M$1000,MATCH($A3&amp;"|Case-fatality rate",'Clinical Sources'!$N$2:$N$1000,0)),"")</f>
        <v/>
      </c>
      <c r="U3" s="9" t="s">
        <v>161</v>
      </c>
      <c r="V3" s="22"/>
      <c r="W3" s="22" t="s">
        <v>153</v>
      </c>
      <c r="X3" s="22"/>
      <c r="Y3" s="22"/>
      <c r="Z3" s="22"/>
      <c r="AA3" s="22" t="s">
        <v>153</v>
      </c>
      <c r="AB3" s="22"/>
      <c r="AC3" s="22"/>
      <c r="AD3" s="13" t="s">
        <v>154</v>
      </c>
      <c r="AE3" s="9" t="s">
        <v>162</v>
      </c>
    </row>
    <row r="4" customFormat="false" ht="14.25" hidden="false" customHeight="true" outlineLevel="0" collapsed="false">
      <c r="A4" s="4" t="s">
        <v>21</v>
      </c>
      <c r="B4" s="5" t="s">
        <v>163</v>
      </c>
      <c r="C4" s="9" t="s">
        <v>164</v>
      </c>
      <c r="D4" s="5" t="s">
        <v>165</v>
      </c>
      <c r="E4" s="5" t="s">
        <v>166</v>
      </c>
      <c r="F4" s="11" t="str">
        <f aca="false">IF(COUNTIF(V4:AC4,"Y")=0,"",UPPER(MID(IF(V4="Y","/neurotoxic","")&amp;IF(W4="Y","/hemotoxic","")&amp;IF(X4="Y","/procoagulant","")&amp;IF(Y4="Y","/anticoagulant","")&amp;IF(Z4="Y","/hemorrhagic","")&amp;IF(AA4="Y","/cytotoxic","")&amp;IF(AB4="Y","/myotoxic","")&amp;IF(AC4="Y","/cardiotoxic",""),2,1))&amp;MID(IF(V4="Y","/neurotoxic","")&amp;IF(W4="Y","/hemotoxic","")&amp;IF(X4="Y","/procoagulant","")&amp;IF(Y4="Y","/anticoagulant","")&amp;IF(Z4="Y","/hemorrhagic","")&amp;IF(AA4="Y","/cytotoxic","")&amp;IF(AB4="Y","/myotoxic","")&amp;IF(AC4="Y","/cardiotoxic",""),3,200))</f>
        <v>Neurotoxic/hemotoxic/procoagulant</v>
      </c>
      <c r="G4" s="19" t="n">
        <f aca="false">IFERROR(INDEX('LD50 Sources'!$C$2:$C$1000,MATCH($A4,'LD50 Sources'!$L$2:$L$1000,0)),"")</f>
        <v>0.099</v>
      </c>
      <c r="H4" s="11" t="str">
        <f aca="false">IFERROR(INDEX('LD50 Sources'!$D$2:$D$1000,MATCH($A4,'LD50 Sources'!$L$2:$L$1000,0))&amp;"","")</f>
        <v>SC</v>
      </c>
      <c r="I4" s="11" t="str">
        <f aca="false">IFERROR(INDEX('LD50 Sources'!$H$2:$H$1000,MATCH($A4,'LD50 Sources'!$L$2:$L$1000,0))&amp;"","")</f>
        <v>A</v>
      </c>
      <c r="J4" s="20" t="str">
        <f aca="false">IF(COUNTIFS('LD50 Sources'!$A$2:$A$1000,$A4,'LD50 Sources'!$K$2:$K$1000,1)&lt;2,"",ROUND(_xlfn.MAXIFS('LD50 Sources'!$C$2:$C$1000,'LD50 Sources'!$A$2:$A$1000,$A4,'LD50 Sources'!$K$2:$K$1000,1)/_xlfn.MINIFS('LD50 Sources'!$C$2:$C$1000,'LD50 Sources'!$A$2:$A$1000,$A4,'LD50 Sources'!$K$2:$K$1000,1),1))</f>
        <v/>
      </c>
      <c r="K4" s="21" t="n">
        <f aca="false">IFERROR(INDEX('Yield Sources'!$C$2:$C$1000,MATCH($A4,'Yield Sources'!$N$2:$N$1000,0)),"")</f>
        <v>120</v>
      </c>
      <c r="L4" s="21" t="n">
        <f aca="false">IFERROR(INDEX('Yield Sources'!$D$2:$D$1000,MATCH($A4,'Yield Sources'!$N$2:$N$1000,0)),"")</f>
        <v>400</v>
      </c>
      <c r="M4" s="11" t="str">
        <f aca="false">IFERROR(INDEX('Yield Sources'!$J$2:$J$1000,MATCH($A4,'Yield Sources'!$N$2:$N$1000,0))&amp;"","")</f>
        <v>C</v>
      </c>
      <c r="N4" s="20" t="str">
        <f aca="false">IF(COUNTIFS('Yield Sources'!$A$2:$A$1000,$A4,'Yield Sources'!$M$2:$M$1000,1)&lt;2,"",ROUND(_xlfn.MAXIFS('Yield Sources'!$D$2:$D$1000,'Yield Sources'!$A$2:$A$1000,$A4,'Yield Sources'!$M$2:$M$1000,1)/_xlfn.MINIFS('Yield Sources'!$D$2:$D$1000,'Yield Sources'!$A$2:$A$1000,$A4,'Yield Sources'!$M$2:$M$1000,1),1))</f>
        <v/>
      </c>
      <c r="O4" s="8" t="n">
        <v>5</v>
      </c>
      <c r="P4" s="8" t="n">
        <v>3</v>
      </c>
      <c r="Q4" s="5" t="s">
        <v>167</v>
      </c>
      <c r="R4" s="5" t="s">
        <v>151</v>
      </c>
      <c r="S4" s="11" t="str">
        <f aca="false">IFERROR(INDEX('Clinical Sources'!$M$2:$M$1000,MATCH($A4&amp;"|Annual deaths",'Clinical Sources'!$N$2:$N$1000,0)),"")</f>
        <v/>
      </c>
      <c r="T4" s="11" t="str">
        <f aca="false">IFERROR(INDEX('Clinical Sources'!$M$2:$M$1000,MATCH($A4&amp;"|Case-fatality rate",'Clinical Sources'!$N$2:$N$1000,0)),"")</f>
        <v/>
      </c>
      <c r="U4" s="9" t="s">
        <v>168</v>
      </c>
      <c r="V4" s="22" t="s">
        <v>153</v>
      </c>
      <c r="W4" s="22" t="s">
        <v>153</v>
      </c>
      <c r="X4" s="22" t="s">
        <v>153</v>
      </c>
      <c r="Y4" s="22"/>
      <c r="Z4" s="22"/>
      <c r="AA4" s="22"/>
      <c r="AB4" s="22"/>
      <c r="AC4" s="22"/>
      <c r="AD4" s="13" t="s">
        <v>154</v>
      </c>
      <c r="AE4" s="9" t="s">
        <v>169</v>
      </c>
    </row>
    <row r="5" customFormat="false" ht="26.25" hidden="false" customHeight="true" outlineLevel="0" collapsed="false">
      <c r="A5" s="4" t="s">
        <v>23</v>
      </c>
      <c r="B5" s="5" t="s">
        <v>170</v>
      </c>
      <c r="C5" s="9" t="s">
        <v>171</v>
      </c>
      <c r="D5" s="5" t="s">
        <v>165</v>
      </c>
      <c r="E5" s="5" t="s">
        <v>172</v>
      </c>
      <c r="F5" s="11" t="str">
        <f aca="false">IF(COUNTIF(V5:AC5,"Y")=0,"",UPPER(MID(IF(V5="Y","/neurotoxic","")&amp;IF(W5="Y","/hemotoxic","")&amp;IF(X5="Y","/procoagulant","")&amp;IF(Y5="Y","/anticoagulant","")&amp;IF(Z5="Y","/hemorrhagic","")&amp;IF(AA5="Y","/cytotoxic","")&amp;IF(AB5="Y","/myotoxic","")&amp;IF(AC5="Y","/cardiotoxic",""),2,1))&amp;MID(IF(V5="Y","/neurotoxic","")&amp;IF(W5="Y","/hemotoxic","")&amp;IF(X5="Y","/procoagulant","")&amp;IF(Y5="Y","/anticoagulant","")&amp;IF(Z5="Y","/hemorrhagic","")&amp;IF(AA5="Y","/cytotoxic","")&amp;IF(AB5="Y","/myotoxic","")&amp;IF(AC5="Y","/cardiotoxic",""),3,200))</f>
        <v>Neurotoxic/myotoxic</v>
      </c>
      <c r="G5" s="19" t="n">
        <f aca="false">IFERROR(INDEX('LD50 Sources'!$C$2:$C$1000,MATCH($A5,'LD50 Sources'!$L$2:$L$1000,0)),"")</f>
        <v>0.164</v>
      </c>
      <c r="H5" s="11" t="str">
        <f aca="false">IFERROR(INDEX('LD50 Sources'!$D$2:$D$1000,MATCH($A5,'LD50 Sources'!$L$2:$L$1000,0))&amp;"","")</f>
        <v>SC</v>
      </c>
      <c r="I5" s="11" t="str">
        <f aca="false">IFERROR(INDEX('LD50 Sources'!$H$2:$H$1000,MATCH($A5,'LD50 Sources'!$L$2:$L$1000,0))&amp;"","")</f>
        <v>A</v>
      </c>
      <c r="J5" s="20" t="n">
        <f aca="false">IF(COUNTIFS('LD50 Sources'!$A$2:$A$1000,$A5,'LD50 Sources'!$K$2:$K$1000,1)&lt;2,"",ROUND(_xlfn.MAXIFS('LD50 Sources'!$C$2:$C$1000,'LD50 Sources'!$A$2:$A$1000,$A5,'LD50 Sources'!$K$2:$K$1000,1)/_xlfn.MINIFS('LD50 Sources'!$C$2:$C$1000,'LD50 Sources'!$A$2:$A$1000,$A5,'LD50 Sources'!$K$2:$K$1000,1),1))</f>
        <v>8.2</v>
      </c>
      <c r="K5" s="21" t="n">
        <f aca="false">IFERROR(INDEX('Yield Sources'!$C$2:$C$1000,MATCH($A5,'Yield Sources'!$N$2:$N$1000,0)),"")</f>
        <v>7</v>
      </c>
      <c r="L5" s="21" t="n">
        <f aca="false">IFERROR(INDEX('Yield Sources'!$D$2:$D$1000,MATCH($A5,'Yield Sources'!$N$2:$N$1000,0)),"")</f>
        <v>79</v>
      </c>
      <c r="M5" s="11" t="str">
        <f aca="false">IFERROR(INDEX('Yield Sources'!$J$2:$J$1000,MATCH($A5,'Yield Sources'!$N$2:$N$1000,0))&amp;"","")</f>
        <v>C</v>
      </c>
      <c r="N5" s="20" t="str">
        <f aca="false">IF(COUNTIFS('Yield Sources'!$A$2:$A$1000,$A5,'Yield Sources'!$M$2:$M$1000,1)&lt;2,"",ROUND(_xlfn.MAXIFS('Yield Sources'!$D$2:$D$1000,'Yield Sources'!$A$2:$A$1000,$A5,'Yield Sources'!$M$2:$M$1000,1)/_xlfn.MINIFS('Yield Sources'!$D$2:$D$1000,'Yield Sources'!$A$2:$A$1000,$A5,'Yield Sources'!$M$2:$M$1000,1),1))</f>
        <v/>
      </c>
      <c r="O5" s="8" t="n">
        <v>1</v>
      </c>
      <c r="P5" s="8" t="n">
        <v>1</v>
      </c>
      <c r="Q5" s="5" t="s">
        <v>173</v>
      </c>
      <c r="R5" s="5" t="s">
        <v>174</v>
      </c>
      <c r="S5" s="11" t="str">
        <f aca="false">IFERROR(INDEX('Clinical Sources'!$M$2:$M$1000,MATCH($A5&amp;"|Annual deaths",'Clinical Sources'!$N$2:$N$1000,0)),"")</f>
        <v/>
      </c>
      <c r="T5" s="11" t="str">
        <f aca="false">IFERROR(INDEX('Clinical Sources'!$M$2:$M$1000,MATCH($A5&amp;"|Case-fatality rate",'Clinical Sources'!$N$2:$N$1000,0)),"")</f>
        <v/>
      </c>
      <c r="U5" s="9" t="s">
        <v>175</v>
      </c>
      <c r="V5" s="22" t="s">
        <v>153</v>
      </c>
      <c r="W5" s="22"/>
      <c r="X5" s="22"/>
      <c r="Y5" s="22"/>
      <c r="Z5" s="22"/>
      <c r="AA5" s="22"/>
      <c r="AB5" s="22" t="s">
        <v>153</v>
      </c>
      <c r="AC5" s="22"/>
      <c r="AD5" s="13" t="s">
        <v>154</v>
      </c>
      <c r="AE5" s="9" t="s">
        <v>176</v>
      </c>
    </row>
    <row r="6" customFormat="false" ht="26.25" hidden="false" customHeight="true" outlineLevel="0" collapsed="false">
      <c r="A6" s="4" t="s">
        <v>20</v>
      </c>
      <c r="B6" s="5" t="s">
        <v>177</v>
      </c>
      <c r="C6" s="9" t="s">
        <v>178</v>
      </c>
      <c r="D6" s="5" t="s">
        <v>165</v>
      </c>
      <c r="E6" s="5" t="s">
        <v>179</v>
      </c>
      <c r="F6" s="11" t="str">
        <f aca="false">IF(COUNTIF(V6:AC6,"Y")=0,"",UPPER(MID(IF(V6="Y","/neurotoxic","")&amp;IF(W6="Y","/hemotoxic","")&amp;IF(X6="Y","/procoagulant","")&amp;IF(Y6="Y","/anticoagulant","")&amp;IF(Z6="Y","/hemorrhagic","")&amp;IF(AA6="Y","/cytotoxic","")&amp;IF(AB6="Y","/myotoxic","")&amp;IF(AC6="Y","/cardiotoxic",""),2,1))&amp;MID(IF(V6="Y","/neurotoxic","")&amp;IF(W6="Y","/hemotoxic","")&amp;IF(X6="Y","/procoagulant","")&amp;IF(Y6="Y","/anticoagulant","")&amp;IF(Z6="Y","/hemorrhagic","")&amp;IF(AA6="Y","/cytotoxic","")&amp;IF(AB6="Y","/myotoxic","")&amp;IF(AC6="Y","/cardiotoxic",""),3,200))</f>
        <v>Neurotoxic/hemotoxic/procoagulant</v>
      </c>
      <c r="G6" s="19" t="n">
        <f aca="false">IFERROR(INDEX('LD50 Sources'!$C$2:$C$1000,MATCH($A6,'LD50 Sources'!$L$2:$L$1000,0)),"")</f>
        <v>0.025</v>
      </c>
      <c r="H6" s="11" t="str">
        <f aca="false">IFERROR(INDEX('LD50 Sources'!$D$2:$D$1000,MATCH($A6,'LD50 Sources'!$L$2:$L$1000,0))&amp;"","")</f>
        <v>SC</v>
      </c>
      <c r="I6" s="11" t="str">
        <f aca="false">IFERROR(INDEX('LD50 Sources'!$H$2:$H$1000,MATCH($A6,'LD50 Sources'!$L$2:$L$1000,0))&amp;"","")</f>
        <v>A</v>
      </c>
      <c r="J6" s="20" t="str">
        <f aca="false">IF(COUNTIFS('LD50 Sources'!$A$2:$A$1000,$A6,'LD50 Sources'!$K$2:$K$1000,1)&lt;2,"",ROUND(_xlfn.MAXIFS('LD50 Sources'!$C$2:$C$1000,'LD50 Sources'!$A$2:$A$1000,$A6,'LD50 Sources'!$K$2:$K$1000,1)/_xlfn.MINIFS('LD50 Sources'!$C$2:$C$1000,'LD50 Sources'!$A$2:$A$1000,$A6,'LD50 Sources'!$K$2:$K$1000,1),1))</f>
        <v/>
      </c>
      <c r="K6" s="21" t="n">
        <f aca="false">IFERROR(INDEX('Yield Sources'!$C$2:$C$1000,MATCH($A6,'Yield Sources'!$N$2:$N$1000,0)),"")</f>
        <v>44</v>
      </c>
      <c r="L6" s="21" t="n">
        <f aca="false">IFERROR(INDEX('Yield Sources'!$D$2:$D$1000,MATCH($A6,'Yield Sources'!$N$2:$N$1000,0)),"")</f>
        <v>110</v>
      </c>
      <c r="M6" s="11" t="str">
        <f aca="false">IFERROR(INDEX('Yield Sources'!$J$2:$J$1000,MATCH($A6,'Yield Sources'!$N$2:$N$1000,0))&amp;"","")</f>
        <v>B</v>
      </c>
      <c r="N6" s="20" t="str">
        <f aca="false">IF(COUNTIFS('Yield Sources'!$A$2:$A$1000,$A6,'Yield Sources'!$M$2:$M$1000,1)&lt;2,"",ROUND(_xlfn.MAXIFS('Yield Sources'!$D$2:$D$1000,'Yield Sources'!$A$2:$A$1000,$A6,'Yield Sources'!$M$2:$M$1000,1)/_xlfn.MINIFS('Yield Sources'!$D$2:$D$1000,'Yield Sources'!$A$2:$A$1000,$A6,'Yield Sources'!$M$2:$M$1000,1),1))</f>
        <v/>
      </c>
      <c r="O6" s="8" t="n">
        <v>1</v>
      </c>
      <c r="P6" s="8" t="n">
        <v>2</v>
      </c>
      <c r="Q6" s="5" t="s">
        <v>180</v>
      </c>
      <c r="R6" s="5" t="s">
        <v>151</v>
      </c>
      <c r="S6" s="11" t="str">
        <f aca="false">IFERROR(INDEX('Clinical Sources'!$M$2:$M$1000,MATCH($A6&amp;"|Annual deaths",'Clinical Sources'!$N$2:$N$1000,0)),"")</f>
        <v>0 (Australia, 2005-2015)</v>
      </c>
      <c r="T6" s="11" t="str">
        <f aca="false">IFERROR(INDEX('Clinical Sources'!$M$2:$M$1000,MATCH($A6&amp;"|Case-fatality rate",'Clinical Sources'!$N$2:$N$1000,0)),"")</f>
        <v/>
      </c>
      <c r="U6" s="9" t="s">
        <v>181</v>
      </c>
      <c r="V6" s="22" t="s">
        <v>153</v>
      </c>
      <c r="W6" s="22" t="s">
        <v>153</v>
      </c>
      <c r="X6" s="22" t="s">
        <v>153</v>
      </c>
      <c r="Y6" s="22"/>
      <c r="Z6" s="22"/>
      <c r="AA6" s="22"/>
      <c r="AB6" s="22"/>
      <c r="AC6" s="22"/>
      <c r="AD6" s="13" t="s">
        <v>154</v>
      </c>
      <c r="AE6" s="9" t="s">
        <v>182</v>
      </c>
    </row>
    <row r="7" customFormat="false" ht="39" hidden="false" customHeight="true" outlineLevel="0" collapsed="false">
      <c r="A7" s="4" t="s">
        <v>25</v>
      </c>
      <c r="B7" s="5" t="s">
        <v>183</v>
      </c>
      <c r="C7" s="9"/>
      <c r="D7" s="5" t="s">
        <v>148</v>
      </c>
      <c r="E7" s="5" t="s">
        <v>184</v>
      </c>
      <c r="F7" s="11" t="str">
        <f aca="false">IF(COUNTIF(V7:AC7,"Y")=0,"",UPPER(MID(IF(V7="Y","/neurotoxic","")&amp;IF(W7="Y","/hemotoxic","")&amp;IF(X7="Y","/procoagulant","")&amp;IF(Y7="Y","/anticoagulant","")&amp;IF(Z7="Y","/hemorrhagic","")&amp;IF(AA7="Y","/cytotoxic","")&amp;IF(AB7="Y","/myotoxic","")&amp;IF(AC7="Y","/cardiotoxic",""),2,1))&amp;MID(IF(V7="Y","/neurotoxic","")&amp;IF(W7="Y","/hemotoxic","")&amp;IF(X7="Y","/procoagulant","")&amp;IF(Y7="Y","/anticoagulant","")&amp;IF(Z7="Y","/hemorrhagic","")&amp;IF(AA7="Y","/cytotoxic","")&amp;IF(AB7="Y","/myotoxic","")&amp;IF(AC7="Y","/cardiotoxic",""),3,200))</f>
        <v>Hemotoxic/cytotoxic</v>
      </c>
      <c r="G7" s="19" t="n">
        <f aca="false">IFERROR(INDEX('LD50 Sources'!$C$2:$C$1000,MATCH($A7,'LD50 Sources'!$L$2:$L$1000,0)),"")</f>
        <v>0.14</v>
      </c>
      <c r="H7" s="11" t="str">
        <f aca="false">IFERROR(INDEX('LD50 Sources'!$D$2:$D$1000,MATCH($A7,'LD50 Sources'!$L$2:$L$1000,0))&amp;"","")</f>
        <v>SC</v>
      </c>
      <c r="I7" s="11" t="str">
        <f aca="false">IFERROR(INDEX('LD50 Sources'!$H$2:$H$1000,MATCH($A7,'LD50 Sources'!$L$2:$L$1000,0))&amp;"","")</f>
        <v>C</v>
      </c>
      <c r="J7" s="20" t="str">
        <f aca="false">IF(COUNTIFS('LD50 Sources'!$A$2:$A$1000,$A7,'LD50 Sources'!$K$2:$K$1000,1)&lt;2,"",ROUND(_xlfn.MAXIFS('LD50 Sources'!$C$2:$C$1000,'LD50 Sources'!$A$2:$A$1000,$A7,'LD50 Sources'!$K$2:$K$1000,1)/_xlfn.MINIFS('LD50 Sources'!$C$2:$C$1000,'LD50 Sources'!$A$2:$A$1000,$A7,'LD50 Sources'!$K$2:$K$1000,1),1))</f>
        <v/>
      </c>
      <c r="K7" s="21" t="n">
        <f aca="false">IFERROR(INDEX('Yield Sources'!$C$2:$C$1000,MATCH($A7,'Yield Sources'!$N$2:$N$1000,0)),"")</f>
        <v>100</v>
      </c>
      <c r="L7" s="21" t="n">
        <f aca="false">IFERROR(INDEX('Yield Sources'!$D$2:$D$1000,MATCH($A7,'Yield Sources'!$N$2:$N$1000,0)),"")</f>
        <v>350</v>
      </c>
      <c r="M7" s="11" t="str">
        <f aca="false">IFERROR(INDEX('Yield Sources'!$J$2:$J$1000,MATCH($A7,'Yield Sources'!$N$2:$N$1000,0))&amp;"","")</f>
        <v>C</v>
      </c>
      <c r="N7" s="20" t="str">
        <f aca="false">IF(COUNTIFS('Yield Sources'!$A$2:$A$1000,$A7,'Yield Sources'!$M$2:$M$1000,1)&lt;2,"",ROUND(_xlfn.MAXIFS('Yield Sources'!$D$2:$D$1000,'Yield Sources'!$A$2:$A$1000,$A7,'Yield Sources'!$M$2:$M$1000,1)/_xlfn.MINIFS('Yield Sources'!$D$2:$D$1000,'Yield Sources'!$A$2:$A$1000,$A7,'Yield Sources'!$M$2:$M$1000,1),1))</f>
        <v/>
      </c>
      <c r="O7" s="8" t="n">
        <v>9</v>
      </c>
      <c r="P7" s="8" t="n">
        <v>4</v>
      </c>
      <c r="Q7" s="5" t="s">
        <v>159</v>
      </c>
      <c r="R7" s="5" t="s">
        <v>160</v>
      </c>
      <c r="S7" s="11" t="str">
        <f aca="false">IFERROR(INDEX('Clinical Sources'!$M$2:$M$1000,MATCH($A7&amp;"|Annual deaths",'Clinical Sources'!$N$2:$N$1000,0)),"")</f>
        <v/>
      </c>
      <c r="T7" s="11" t="str">
        <f aca="false">IFERROR(INDEX('Clinical Sources'!$M$2:$M$1000,MATCH($A7&amp;"|Case-fatality rate",'Clinical Sources'!$N$2:$N$1000,0)),"")</f>
        <v/>
      </c>
      <c r="U7" s="9" t="s">
        <v>185</v>
      </c>
      <c r="V7" s="22"/>
      <c r="W7" s="22" t="s">
        <v>153</v>
      </c>
      <c r="X7" s="22"/>
      <c r="Y7" s="22"/>
      <c r="Z7" s="22"/>
      <c r="AA7" s="22" t="s">
        <v>153</v>
      </c>
      <c r="AB7" s="22"/>
      <c r="AC7" s="22"/>
      <c r="AD7" s="13" t="s">
        <v>154</v>
      </c>
      <c r="AE7" s="9" t="s">
        <v>186</v>
      </c>
    </row>
    <row r="8" customFormat="false" ht="26.25" hidden="false" customHeight="true" outlineLevel="0" collapsed="false">
      <c r="A8" s="4" t="s">
        <v>24</v>
      </c>
      <c r="B8" s="5" t="s">
        <v>187</v>
      </c>
      <c r="C8" s="9"/>
      <c r="D8" s="5" t="s">
        <v>165</v>
      </c>
      <c r="E8" s="5" t="s">
        <v>184</v>
      </c>
      <c r="F8" s="11" t="str">
        <f aca="false">IF(COUNTIF(V8:AC8,"Y")=0,"",UPPER(MID(IF(V8="Y","/neurotoxic","")&amp;IF(W8="Y","/hemotoxic","")&amp;IF(X8="Y","/procoagulant","")&amp;IF(Y8="Y","/anticoagulant","")&amp;IF(Z8="Y","/hemorrhagic","")&amp;IF(AA8="Y","/cytotoxic","")&amp;IF(AB8="Y","/myotoxic","")&amp;IF(AC8="Y","/cardiotoxic",""),2,1))&amp;MID(IF(V8="Y","/neurotoxic","")&amp;IF(W8="Y","/hemotoxic","")&amp;IF(X8="Y","/procoagulant","")&amp;IF(Y8="Y","/anticoagulant","")&amp;IF(Z8="Y","/hemorrhagic","")&amp;IF(AA8="Y","/cytotoxic","")&amp;IF(AB8="Y","/myotoxic","")&amp;IF(AC8="Y","/cardiotoxic",""),3,200))</f>
        <v>Neurotoxic/cardiotoxic</v>
      </c>
      <c r="G8" s="19" t="n">
        <f aca="false">IFERROR(INDEX('LD50 Sources'!$C$2:$C$1000,MATCH($A8,'LD50 Sources'!$L$2:$L$1000,0)),"")</f>
        <v>0.05</v>
      </c>
      <c r="H8" s="11" t="str">
        <f aca="false">IFERROR(INDEX('LD50 Sources'!$D$2:$D$1000,MATCH($A8,'LD50 Sources'!$L$2:$L$1000,0))&amp;"","")</f>
        <v>SC</v>
      </c>
      <c r="I8" s="11" t="str">
        <f aca="false">IFERROR(INDEX('LD50 Sources'!$H$2:$H$1000,MATCH($A8,'LD50 Sources'!$L$2:$L$1000,0))&amp;"","")</f>
        <v>D</v>
      </c>
      <c r="J8" s="20" t="n">
        <f aca="false">IF(COUNTIFS('LD50 Sources'!$A$2:$A$1000,$A8,'LD50 Sources'!$K$2:$K$1000,1)&lt;2,"",ROUND(_xlfn.MAXIFS('LD50 Sources'!$C$2:$C$1000,'LD50 Sources'!$A$2:$A$1000,$A8,'LD50 Sources'!$K$2:$K$1000,1)/_xlfn.MINIFS('LD50 Sources'!$C$2:$C$1000,'LD50 Sources'!$A$2:$A$1000,$A8,'LD50 Sources'!$K$2:$K$1000,1),1))</f>
        <v>6.4</v>
      </c>
      <c r="K8" s="21" t="n">
        <f aca="false">IFERROR(INDEX('Yield Sources'!$C$2:$C$1000,MATCH($A8,'Yield Sources'!$N$2:$N$1000,0)),"")</f>
        <v>50</v>
      </c>
      <c r="L8" s="21" t="n">
        <f aca="false">IFERROR(INDEX('Yield Sources'!$D$2:$D$1000,MATCH($A8,'Yield Sources'!$N$2:$N$1000,0)),"")</f>
        <v>100</v>
      </c>
      <c r="M8" s="11" t="str">
        <f aca="false">IFERROR(INDEX('Yield Sources'!$J$2:$J$1000,MATCH($A8,'Yield Sources'!$N$2:$N$1000,0))&amp;"","")</f>
        <v>C</v>
      </c>
      <c r="N8" s="20" t="n">
        <f aca="false">IF(COUNTIFS('Yield Sources'!$A$2:$A$1000,$A8,'Yield Sources'!$M$2:$M$1000,1)&lt;2,"",ROUND(_xlfn.MAXIFS('Yield Sources'!$D$2:$D$1000,'Yield Sources'!$A$2:$A$1000,$A8,'Yield Sources'!$M$2:$M$1000,1)/_xlfn.MINIFS('Yield Sources'!$D$2:$D$1000,'Yield Sources'!$A$2:$A$1000,$A8,'Yield Sources'!$M$2:$M$1000,1),1))</f>
        <v>4</v>
      </c>
      <c r="O8" s="8" t="n">
        <v>5</v>
      </c>
      <c r="P8" s="8" t="n">
        <v>4</v>
      </c>
      <c r="Q8" s="5" t="s">
        <v>180</v>
      </c>
      <c r="R8" s="5" t="s">
        <v>160</v>
      </c>
      <c r="S8" s="11" t="str">
        <f aca="false">IFERROR(INDEX('Clinical Sources'!$M$2:$M$1000,MATCH($A8&amp;"|Annual deaths",'Clinical Sources'!$N$2:$N$1000,0)),"")</f>
        <v/>
      </c>
      <c r="T8" s="11" t="str">
        <f aca="false">IFERROR(INDEX('Clinical Sources'!$M$2:$M$1000,MATCH($A8&amp;"|Case-fatality rate",'Clinical Sources'!$N$2:$N$1000,0)),"")</f>
        <v/>
      </c>
      <c r="U8" s="9" t="s">
        <v>188</v>
      </c>
      <c r="V8" s="22" t="s">
        <v>153</v>
      </c>
      <c r="W8" s="22"/>
      <c r="X8" s="22"/>
      <c r="Y8" s="22"/>
      <c r="Z8" s="22"/>
      <c r="AA8" s="22"/>
      <c r="AB8" s="22"/>
      <c r="AC8" s="22" t="s">
        <v>153</v>
      </c>
      <c r="AD8" s="13" t="s">
        <v>154</v>
      </c>
      <c r="AE8" s="9" t="s">
        <v>189</v>
      </c>
    </row>
    <row r="9" customFormat="false" ht="14.25" hidden="false" customHeight="true" outlineLevel="0" collapsed="false">
      <c r="A9" s="4" t="s">
        <v>29</v>
      </c>
      <c r="B9" s="5" t="s">
        <v>190</v>
      </c>
      <c r="C9" s="9" t="s">
        <v>191</v>
      </c>
      <c r="D9" s="5" t="s">
        <v>165</v>
      </c>
      <c r="E9" s="5" t="s">
        <v>192</v>
      </c>
      <c r="F9" s="11" t="str">
        <f aca="false">IF(COUNTIF(V9:AC9,"Y")=0,"",UPPER(MID(IF(V9="Y","/neurotoxic","")&amp;IF(W9="Y","/hemotoxic","")&amp;IF(X9="Y","/procoagulant","")&amp;IF(Y9="Y","/anticoagulant","")&amp;IF(Z9="Y","/hemorrhagic","")&amp;IF(AA9="Y","/cytotoxic","")&amp;IF(AB9="Y","/myotoxic","")&amp;IF(AC9="Y","/cardiotoxic",""),2,1))&amp;MID(IF(V9="Y","/neurotoxic","")&amp;IF(W9="Y","/hemotoxic","")&amp;IF(X9="Y","/procoagulant","")&amp;IF(Y9="Y","/anticoagulant","")&amp;IF(Z9="Y","/hemorrhagic","")&amp;IF(AA9="Y","/cytotoxic","")&amp;IF(AB9="Y","/myotoxic","")&amp;IF(AC9="Y","/cardiotoxic",""),3,200))</f>
        <v>Neurotoxic/cytotoxic</v>
      </c>
      <c r="G9" s="19" t="n">
        <f aca="false">IFERROR(INDEX('LD50 Sources'!$C$2:$C$1000,MATCH($A9,'LD50 Sources'!$L$2:$L$1000,0)),"")</f>
        <v>0.19</v>
      </c>
      <c r="H9" s="11" t="str">
        <f aca="false">IFERROR(INDEX('LD50 Sources'!$D$2:$D$1000,MATCH($A9,'LD50 Sources'!$L$2:$L$1000,0))&amp;"","")</f>
        <v>SC</v>
      </c>
      <c r="I9" s="11" t="str">
        <f aca="false">IFERROR(INDEX('LD50 Sources'!$H$2:$H$1000,MATCH($A9,'LD50 Sources'!$L$2:$L$1000,0))&amp;"","")</f>
        <v>C</v>
      </c>
      <c r="J9" s="20" t="str">
        <f aca="false">IF(COUNTIFS('LD50 Sources'!$A$2:$A$1000,$A9,'LD50 Sources'!$K$2:$K$1000,1)&lt;2,"",ROUND(_xlfn.MAXIFS('LD50 Sources'!$C$2:$C$1000,'LD50 Sources'!$A$2:$A$1000,$A9,'LD50 Sources'!$K$2:$K$1000,1)/_xlfn.MINIFS('LD50 Sources'!$C$2:$C$1000,'LD50 Sources'!$A$2:$A$1000,$A9,'LD50 Sources'!$K$2:$K$1000,1),1))</f>
        <v/>
      </c>
      <c r="K9" s="21" t="n">
        <f aca="false">IFERROR(INDEX('Yield Sources'!$C$2:$C$1000,MATCH($A9,'Yield Sources'!$N$2:$N$1000,0)),"")</f>
        <v>175</v>
      </c>
      <c r="L9" s="21" t="n">
        <f aca="false">IFERROR(INDEX('Yield Sources'!$D$2:$D$1000,MATCH($A9,'Yield Sources'!$N$2:$N$1000,0)),"")</f>
        <v>300</v>
      </c>
      <c r="M9" s="11" t="str">
        <f aca="false">IFERROR(INDEX('Yield Sources'!$J$2:$J$1000,MATCH($A9,'Yield Sources'!$N$2:$N$1000,0))&amp;"","")</f>
        <v>C</v>
      </c>
      <c r="N9" s="20" t="str">
        <f aca="false">IF(COUNTIFS('Yield Sources'!$A$2:$A$1000,$A9,'Yield Sources'!$M$2:$M$1000,1)&lt;2,"",ROUND(_xlfn.MAXIFS('Yield Sources'!$D$2:$D$1000,'Yield Sources'!$A$2:$A$1000,$A9,'Yield Sources'!$M$2:$M$1000,1)/_xlfn.MINIFS('Yield Sources'!$D$2:$D$1000,'Yield Sources'!$A$2:$A$1000,$A9,'Yield Sources'!$M$2:$M$1000,1),1))</f>
        <v/>
      </c>
      <c r="O9" s="8" t="n">
        <v>6</v>
      </c>
      <c r="P9" s="8" t="n">
        <v>4</v>
      </c>
      <c r="Q9" s="5" t="s">
        <v>167</v>
      </c>
      <c r="R9" s="5" t="s">
        <v>160</v>
      </c>
      <c r="S9" s="11" t="str">
        <f aca="false">IFERROR(INDEX('Clinical Sources'!$M$2:$M$1000,MATCH($A9&amp;"|Annual deaths",'Clinical Sources'!$N$2:$N$1000,0)),"")</f>
        <v/>
      </c>
      <c r="T9" s="11" t="str">
        <f aca="false">IFERROR(INDEX('Clinical Sources'!$M$2:$M$1000,MATCH($A9&amp;"|Case-fatality rate",'Clinical Sources'!$N$2:$N$1000,0)),"")</f>
        <v/>
      </c>
      <c r="U9" s="9" t="s">
        <v>193</v>
      </c>
      <c r="V9" s="22" t="s">
        <v>153</v>
      </c>
      <c r="W9" s="22"/>
      <c r="X9" s="22"/>
      <c r="Y9" s="22"/>
      <c r="Z9" s="22"/>
      <c r="AA9" s="22" t="s">
        <v>153</v>
      </c>
      <c r="AB9" s="22"/>
      <c r="AC9" s="22"/>
      <c r="AD9" s="13" t="s">
        <v>154</v>
      </c>
      <c r="AE9" s="9" t="s">
        <v>194</v>
      </c>
    </row>
    <row r="10" customFormat="false" ht="39" hidden="false" customHeight="true" outlineLevel="0" collapsed="false">
      <c r="A10" s="4" t="s">
        <v>27</v>
      </c>
      <c r="B10" s="5" t="s">
        <v>195</v>
      </c>
      <c r="C10" s="9" t="s">
        <v>196</v>
      </c>
      <c r="D10" s="5" t="s">
        <v>165</v>
      </c>
      <c r="E10" s="5" t="s">
        <v>197</v>
      </c>
      <c r="F10" s="11" t="str">
        <f aca="false">IF(COUNTIF(V10:AC10,"Y")=0,"",UPPER(MID(IF(V10="Y","/neurotoxic","")&amp;IF(W10="Y","/hemotoxic","")&amp;IF(X10="Y","/procoagulant","")&amp;IF(Y10="Y","/anticoagulant","")&amp;IF(Z10="Y","/hemorrhagic","")&amp;IF(AA10="Y","/cytotoxic","")&amp;IF(AB10="Y","/myotoxic","")&amp;IF(AC10="Y","/cardiotoxic",""),2,1))&amp;MID(IF(V10="Y","/neurotoxic","")&amp;IF(W10="Y","/hemotoxic","")&amp;IF(X10="Y","/procoagulant","")&amp;IF(Y10="Y","/anticoagulant","")&amp;IF(Z10="Y","/hemorrhagic","")&amp;IF(AA10="Y","/cytotoxic","")&amp;IF(AB10="Y","/myotoxic","")&amp;IF(AC10="Y","/cardiotoxic",""),3,200))</f>
        <v>Neurotoxic/hemotoxic/procoagulant/myotoxic</v>
      </c>
      <c r="G10" s="19" t="n">
        <f aca="false">IFERROR(INDEX('LD50 Sources'!$C$2:$C$1000,MATCH($A10,'LD50 Sources'!$L$2:$L$1000,0)),"")</f>
        <v>0.118</v>
      </c>
      <c r="H10" s="11" t="str">
        <f aca="false">IFERROR(INDEX('LD50 Sources'!$D$2:$D$1000,MATCH($A10,'LD50 Sources'!$L$2:$L$1000,0))&amp;"","")</f>
        <v>SC</v>
      </c>
      <c r="I10" s="11" t="str">
        <f aca="false">IFERROR(INDEX('LD50 Sources'!$H$2:$H$1000,MATCH($A10,'LD50 Sources'!$L$2:$L$1000,0))&amp;"","")</f>
        <v>A</v>
      </c>
      <c r="J10" s="20" t="str">
        <f aca="false">IF(COUNTIFS('LD50 Sources'!$A$2:$A$1000,$A10,'LD50 Sources'!$K$2:$K$1000,1)&lt;2,"",ROUND(_xlfn.MAXIFS('LD50 Sources'!$C$2:$C$1000,'LD50 Sources'!$A$2:$A$1000,$A10,'LD50 Sources'!$K$2:$K$1000,1)/_xlfn.MINIFS('LD50 Sources'!$C$2:$C$1000,'LD50 Sources'!$A$2:$A$1000,$A10,'LD50 Sources'!$K$2:$K$1000,1),1))</f>
        <v/>
      </c>
      <c r="K10" s="21" t="n">
        <f aca="false">IFERROR(INDEX('Yield Sources'!$C$2:$C$1000,MATCH($A10,'Yield Sources'!$N$2:$N$1000,0)),"")</f>
        <v>35</v>
      </c>
      <c r="L10" s="21" t="n">
        <f aca="false">IFERROR(INDEX('Yield Sources'!$D$2:$D$1000,MATCH($A10,'Yield Sources'!$N$2:$N$1000,0)),"")</f>
        <v>189</v>
      </c>
      <c r="M10" s="11" t="str">
        <f aca="false">IFERROR(INDEX('Yield Sources'!$J$2:$J$1000,MATCH($A10,'Yield Sources'!$N$2:$N$1000,0))&amp;"","")</f>
        <v>C</v>
      </c>
      <c r="N10" s="20" t="str">
        <f aca="false">IF(COUNTIFS('Yield Sources'!$A$2:$A$1000,$A10,'Yield Sources'!$M$2:$M$1000,1)&lt;2,"",ROUND(_xlfn.MAXIFS('Yield Sources'!$D$2:$D$1000,'Yield Sources'!$A$2:$A$1000,$A10,'Yield Sources'!$M$2:$M$1000,1)/_xlfn.MINIFS('Yield Sources'!$D$2:$D$1000,'Yield Sources'!$A$2:$A$1000,$A10,'Yield Sources'!$M$2:$M$1000,1),1))</f>
        <v/>
      </c>
      <c r="O10" s="8" t="n">
        <v>5</v>
      </c>
      <c r="P10" s="8" t="n">
        <v>3</v>
      </c>
      <c r="Q10" s="5" t="s">
        <v>167</v>
      </c>
      <c r="R10" s="5" t="s">
        <v>151</v>
      </c>
      <c r="S10" s="11" t="str">
        <f aca="false">IFERROR(INDEX('Clinical Sources'!$M$2:$M$1000,MATCH($A10&amp;"|Annual deaths",'Clinical Sources'!$N$2:$N$1000,0)),"")</f>
        <v>0.4 (Australia 2005-2015, tiger snakes)</v>
      </c>
      <c r="T10" s="11" t="str">
        <f aca="false">IFERROR(INDEX('Clinical Sources'!$M$2:$M$1000,MATCH($A10&amp;"|Case-fatality rate",'Clinical Sources'!$N$2:$N$1000,0)),"")</f>
        <v/>
      </c>
      <c r="U10" s="9" t="s">
        <v>198</v>
      </c>
      <c r="V10" s="22" t="s">
        <v>153</v>
      </c>
      <c r="W10" s="22" t="s">
        <v>153</v>
      </c>
      <c r="X10" s="22" t="s">
        <v>153</v>
      </c>
      <c r="Y10" s="22"/>
      <c r="Z10" s="22"/>
      <c r="AA10" s="22"/>
      <c r="AB10" s="22" t="s">
        <v>153</v>
      </c>
      <c r="AC10" s="22"/>
      <c r="AD10" s="13" t="s">
        <v>154</v>
      </c>
      <c r="AE10" s="9" t="s">
        <v>199</v>
      </c>
    </row>
    <row r="11" customFormat="false" ht="26.25" hidden="false" customHeight="true" outlineLevel="0" collapsed="false">
      <c r="A11" s="4" t="s">
        <v>28</v>
      </c>
      <c r="B11" s="5" t="s">
        <v>200</v>
      </c>
      <c r="C11" s="9" t="s">
        <v>201</v>
      </c>
      <c r="D11" s="5" t="s">
        <v>165</v>
      </c>
      <c r="E11" s="5" t="s">
        <v>202</v>
      </c>
      <c r="F11" s="11" t="str">
        <f aca="false">IF(COUNTIF(V11:AC11,"Y")=0,"",UPPER(MID(IF(V11="Y","/neurotoxic","")&amp;IF(W11="Y","/hemotoxic","")&amp;IF(X11="Y","/procoagulant","")&amp;IF(Y11="Y","/anticoagulant","")&amp;IF(Z11="Y","/hemorrhagic","")&amp;IF(AA11="Y","/cytotoxic","")&amp;IF(AB11="Y","/myotoxic","")&amp;IF(AC11="Y","/cardiotoxic",""),2,1))&amp;MID(IF(V11="Y","/neurotoxic","")&amp;IF(W11="Y","/hemotoxic","")&amp;IF(X11="Y","/procoagulant","")&amp;IF(Y11="Y","/anticoagulant","")&amp;IF(Z11="Y","/hemorrhagic","")&amp;IF(AA11="Y","/cytotoxic","")&amp;IF(AB11="Y","/myotoxic","")&amp;IF(AC11="Y","/cardiotoxic",""),3,200))</f>
        <v>Neurotoxic/hemotoxic/procoagulant</v>
      </c>
      <c r="G11" s="19" t="n">
        <f aca="false">IFERROR(INDEX('LD50 Sources'!$C$2:$C$1000,MATCH($A11,'LD50 Sources'!$L$2:$L$1000,0)),"")</f>
        <v>0.053</v>
      </c>
      <c r="H11" s="11" t="str">
        <f aca="false">IFERROR(INDEX('LD50 Sources'!$D$2:$D$1000,MATCH($A11,'LD50 Sources'!$L$2:$L$1000,0))&amp;"","")</f>
        <v>SC</v>
      </c>
      <c r="I11" s="11" t="str">
        <f aca="false">IFERROR(INDEX('LD50 Sources'!$H$2:$H$1000,MATCH($A11,'LD50 Sources'!$L$2:$L$1000,0))&amp;"","")</f>
        <v>A</v>
      </c>
      <c r="J11" s="20" t="str">
        <f aca="false">IF(COUNTIFS('LD50 Sources'!$A$2:$A$1000,$A11,'LD50 Sources'!$K$2:$K$1000,1)&lt;2,"",ROUND(_xlfn.MAXIFS('LD50 Sources'!$C$2:$C$1000,'LD50 Sources'!$A$2:$A$1000,$A11,'LD50 Sources'!$K$2:$K$1000,1)/_xlfn.MINIFS('LD50 Sources'!$C$2:$C$1000,'LD50 Sources'!$A$2:$A$1000,$A11,'LD50 Sources'!$K$2:$K$1000,1),1))</f>
        <v/>
      </c>
      <c r="K11" s="21" t="n">
        <f aca="false">IFERROR(INDEX('Yield Sources'!$C$2:$C$1000,MATCH($A11,'Yield Sources'!$N$2:$N$1000,0)),"")</f>
        <v>2</v>
      </c>
      <c r="L11" s="21" t="n">
        <f aca="false">IFERROR(INDEX('Yield Sources'!$D$2:$D$1000,MATCH($A11,'Yield Sources'!$N$2:$N$1000,0)),"")</f>
        <v>67</v>
      </c>
      <c r="M11" s="11" t="str">
        <f aca="false">IFERROR(INDEX('Yield Sources'!$J$2:$J$1000,MATCH($A11,'Yield Sources'!$N$2:$N$1000,0))&amp;"","")</f>
        <v>C</v>
      </c>
      <c r="N11" s="20" t="str">
        <f aca="false">IF(COUNTIFS('Yield Sources'!$A$2:$A$1000,$A11,'Yield Sources'!$M$2:$M$1000,1)&lt;2,"",ROUND(_xlfn.MAXIFS('Yield Sources'!$D$2:$D$1000,'Yield Sources'!$A$2:$A$1000,$A11,'Yield Sources'!$M$2:$M$1000,1)/_xlfn.MINIFS('Yield Sources'!$D$2:$D$1000,'Yield Sources'!$A$2:$A$1000,$A11,'Yield Sources'!$M$2:$M$1000,1),1))</f>
        <v/>
      </c>
      <c r="O11" s="8" t="n">
        <v>9</v>
      </c>
      <c r="P11" s="8" t="n">
        <v>5</v>
      </c>
      <c r="Q11" s="5" t="s">
        <v>180</v>
      </c>
      <c r="R11" s="5" t="s">
        <v>151</v>
      </c>
      <c r="S11" s="11" t="str">
        <f aca="false">IFERROR(INDEX('Clinical Sources'!$M$2:$M$1000,MATCH($A11&amp;"|Annual deaths",'Clinical Sources'!$N$2:$N$1000,0)),"")</f>
        <v>1.7 (Australia 2005-2015, all brown snakes)</v>
      </c>
      <c r="T11" s="11" t="str">
        <f aca="false">IFERROR(INDEX('Clinical Sources'!$M$2:$M$1000,MATCH($A11&amp;"|Case-fatality rate",'Clinical Sources'!$N$2:$N$1000,0)),"")</f>
        <v/>
      </c>
      <c r="U11" s="9" t="s">
        <v>203</v>
      </c>
      <c r="V11" s="22" t="s">
        <v>153</v>
      </c>
      <c r="W11" s="22" t="s">
        <v>153</v>
      </c>
      <c r="X11" s="22" t="s">
        <v>153</v>
      </c>
      <c r="Y11" s="22"/>
      <c r="Z11" s="22"/>
      <c r="AA11" s="22"/>
      <c r="AB11" s="22"/>
      <c r="AC11" s="22"/>
      <c r="AD11" s="13" t="s">
        <v>154</v>
      </c>
      <c r="AE11" s="9" t="s">
        <v>204</v>
      </c>
    </row>
    <row r="12" customFormat="false" ht="26.25" hidden="false" customHeight="true" outlineLevel="0" collapsed="false">
      <c r="A12" s="4" t="s">
        <v>30</v>
      </c>
      <c r="B12" s="5" t="s">
        <v>205</v>
      </c>
      <c r="C12" s="9" t="s">
        <v>206</v>
      </c>
      <c r="D12" s="5" t="s">
        <v>165</v>
      </c>
      <c r="E12" s="5" t="s">
        <v>207</v>
      </c>
      <c r="F12" s="11" t="str">
        <f aca="false">IF(COUNTIF(V12:AC12,"Y")=0,"",UPPER(MID(IF(V12="Y","/neurotoxic","")&amp;IF(W12="Y","/hemotoxic","")&amp;IF(X12="Y","/procoagulant","")&amp;IF(Y12="Y","/anticoagulant","")&amp;IF(Z12="Y","/hemorrhagic","")&amp;IF(AA12="Y","/cytotoxic","")&amp;IF(AB12="Y","/myotoxic","")&amp;IF(AC12="Y","/cardiotoxic",""),2,1))&amp;MID(IF(V12="Y","/neurotoxic","")&amp;IF(W12="Y","/hemotoxic","")&amp;IF(X12="Y","/procoagulant","")&amp;IF(Y12="Y","/anticoagulant","")&amp;IF(Z12="Y","/hemorrhagic","")&amp;IF(AA12="Y","/cytotoxic","")&amp;IF(AB12="Y","/myotoxic","")&amp;IF(AC12="Y","/cardiotoxic",""),3,200))</f>
        <v>Neurotoxic</v>
      </c>
      <c r="G12" s="19" t="n">
        <f aca="false">IFERROR(INDEX('LD50 Sources'!$C$2:$C$1000,MATCH($A12,'LD50 Sources'!$L$2:$L$1000,0)),"")</f>
        <v>0.1</v>
      </c>
      <c r="H12" s="11" t="str">
        <f aca="false">IFERROR(INDEX('LD50 Sources'!$D$2:$D$1000,MATCH($A12,'LD50 Sources'!$L$2:$L$1000,0))&amp;"","")</f>
        <v>SC</v>
      </c>
      <c r="I12" s="11" t="str">
        <f aca="false">IFERROR(INDEX('LD50 Sources'!$H$2:$H$1000,MATCH($A12,'LD50 Sources'!$L$2:$L$1000,0))&amp;"","")</f>
        <v>C</v>
      </c>
      <c r="J12" s="20" t="str">
        <f aca="false">IF(COUNTIFS('LD50 Sources'!$A$2:$A$1000,$A12,'LD50 Sources'!$K$2:$K$1000,1)&lt;2,"",ROUND(_xlfn.MAXIFS('LD50 Sources'!$C$2:$C$1000,'LD50 Sources'!$A$2:$A$1000,$A12,'LD50 Sources'!$K$2:$K$1000,1)/_xlfn.MINIFS('LD50 Sources'!$C$2:$C$1000,'LD50 Sources'!$A$2:$A$1000,$A12,'LD50 Sources'!$K$2:$K$1000,1),1))</f>
        <v/>
      </c>
      <c r="K12" s="21" t="n">
        <f aca="false">IFERROR(INDEX('Yield Sources'!$C$2:$C$1000,MATCH($A12,'Yield Sources'!$N$2:$N$1000,0)),"")</f>
        <v>66</v>
      </c>
      <c r="L12" s="21" t="n">
        <f aca="false">IFERROR(INDEX('Yield Sources'!$D$2:$D$1000,MATCH($A12,'Yield Sources'!$N$2:$N$1000,0)),"")</f>
        <v>124</v>
      </c>
      <c r="M12" s="11" t="str">
        <f aca="false">IFERROR(INDEX('Yield Sources'!$J$2:$J$1000,MATCH($A12,'Yield Sources'!$N$2:$N$1000,0))&amp;"","")</f>
        <v>C</v>
      </c>
      <c r="N12" s="20" t="str">
        <f aca="false">IF(COUNTIFS('Yield Sources'!$A$2:$A$1000,$A12,'Yield Sources'!$M$2:$M$1000,1)&lt;2,"",ROUND(_xlfn.MAXIFS('Yield Sources'!$D$2:$D$1000,'Yield Sources'!$A$2:$A$1000,$A12,'Yield Sources'!$M$2:$M$1000,1)/_xlfn.MINIFS('Yield Sources'!$D$2:$D$1000,'Yield Sources'!$A$2:$A$1000,$A12,'Yield Sources'!$M$2:$M$1000,1),1))</f>
        <v/>
      </c>
      <c r="O12" s="8" t="n">
        <v>7</v>
      </c>
      <c r="P12" s="8" t="n">
        <v>3</v>
      </c>
      <c r="Q12" s="5" t="s">
        <v>167</v>
      </c>
      <c r="R12" s="5" t="s">
        <v>174</v>
      </c>
      <c r="S12" s="11" t="str">
        <f aca="false">IFERROR(INDEX('Clinical Sources'!$M$2:$M$1000,MATCH($A12&amp;"|Annual deaths",'Clinical Sources'!$N$2:$N$1000,0)),"")</f>
        <v/>
      </c>
      <c r="T12" s="11" t="str">
        <f aca="false">IFERROR(INDEX('Clinical Sources'!$M$2:$M$1000,MATCH($A12&amp;"|Case-fatality rate",'Clinical Sources'!$N$2:$N$1000,0)),"")</f>
        <v/>
      </c>
      <c r="U12" s="9" t="s">
        <v>208</v>
      </c>
      <c r="V12" s="22" t="s">
        <v>153</v>
      </c>
      <c r="W12" s="22"/>
      <c r="X12" s="22"/>
      <c r="Y12" s="22"/>
      <c r="Z12" s="22"/>
      <c r="AA12" s="22"/>
      <c r="AB12" s="22"/>
      <c r="AC12" s="22"/>
      <c r="AD12" s="13" t="s">
        <v>154</v>
      </c>
      <c r="AE12" s="9" t="s">
        <v>209</v>
      </c>
    </row>
    <row r="13" customFormat="false" ht="39" hidden="false" customHeight="true" outlineLevel="0" collapsed="false">
      <c r="A13" s="4" t="s">
        <v>32</v>
      </c>
      <c r="B13" s="5" t="s">
        <v>210</v>
      </c>
      <c r="C13" s="9" t="s">
        <v>211</v>
      </c>
      <c r="D13" s="5" t="s">
        <v>148</v>
      </c>
      <c r="E13" s="5" t="s">
        <v>212</v>
      </c>
      <c r="F13" s="11" t="str">
        <f aca="false">IF(COUNTIF(V13:AC13,"Y")=0,"",UPPER(MID(IF(V13="Y","/neurotoxic","")&amp;IF(W13="Y","/hemotoxic","")&amp;IF(X13="Y","/procoagulant","")&amp;IF(Y13="Y","/anticoagulant","")&amp;IF(Z13="Y","/hemorrhagic","")&amp;IF(AA13="Y","/cytotoxic","")&amp;IF(AB13="Y","/myotoxic","")&amp;IF(AC13="Y","/cardiotoxic",""),2,1))&amp;MID(IF(V13="Y","/neurotoxic","")&amp;IF(W13="Y","/hemotoxic","")&amp;IF(X13="Y","/procoagulant","")&amp;IF(Y13="Y","/anticoagulant","")&amp;IF(Z13="Y","/hemorrhagic","")&amp;IF(AA13="Y","/cytotoxic","")&amp;IF(AB13="Y","/myotoxic","")&amp;IF(AC13="Y","/cardiotoxic",""),3,200))</f>
        <v>Neurotoxic/hemotoxic</v>
      </c>
      <c r="G13" s="19" t="n">
        <f aca="false">IFERROR(INDEX('LD50 Sources'!$C$2:$C$1000,MATCH($A13,'LD50 Sources'!$L$2:$L$1000,0)),"")</f>
        <v>0.18</v>
      </c>
      <c r="H13" s="11" t="str">
        <f aca="false">IFERROR(INDEX('LD50 Sources'!$D$2:$D$1000,MATCH($A13,'LD50 Sources'!$L$2:$L$1000,0))&amp;"","")</f>
        <v>SC</v>
      </c>
      <c r="I13" s="11" t="str">
        <f aca="false">IFERROR(INDEX('LD50 Sources'!$H$2:$H$1000,MATCH($A13,'LD50 Sources'!$L$2:$L$1000,0))&amp;"","")</f>
        <v>C</v>
      </c>
      <c r="J13" s="20" t="str">
        <f aca="false">IF(COUNTIFS('LD50 Sources'!$A$2:$A$1000,$A13,'LD50 Sources'!$K$2:$K$1000,1)&lt;2,"",ROUND(_xlfn.MAXIFS('LD50 Sources'!$C$2:$C$1000,'LD50 Sources'!$A$2:$A$1000,$A13,'LD50 Sources'!$K$2:$K$1000,1)/_xlfn.MINIFS('LD50 Sources'!$C$2:$C$1000,'LD50 Sources'!$A$2:$A$1000,$A13,'LD50 Sources'!$K$2:$K$1000,1),1))</f>
        <v/>
      </c>
      <c r="K13" s="21" t="n">
        <f aca="false">IFERROR(INDEX('Yield Sources'!$C$2:$C$1000,MATCH($A13,'Yield Sources'!$N$2:$N$1000,0)),"")</f>
        <v>50</v>
      </c>
      <c r="L13" s="21" t="n">
        <f aca="false">IFERROR(INDEX('Yield Sources'!$D$2:$D$1000,MATCH($A13,'Yield Sources'!$N$2:$N$1000,0)),"")</f>
        <v>150</v>
      </c>
      <c r="M13" s="11" t="str">
        <f aca="false">IFERROR(INDEX('Yield Sources'!$J$2:$J$1000,MATCH($A13,'Yield Sources'!$N$2:$N$1000,0))&amp;"","")</f>
        <v>C</v>
      </c>
      <c r="N13" s="20" t="str">
        <f aca="false">IF(COUNTIFS('Yield Sources'!$A$2:$A$1000,$A13,'Yield Sources'!$M$2:$M$1000,1)&lt;2,"",ROUND(_xlfn.MAXIFS('Yield Sources'!$D$2:$D$1000,'Yield Sources'!$A$2:$A$1000,$A13,'Yield Sources'!$M$2:$M$1000,1)/_xlfn.MINIFS('Yield Sources'!$D$2:$D$1000,'Yield Sources'!$A$2:$A$1000,$A13,'Yield Sources'!$M$2:$M$1000,1),1))</f>
        <v/>
      </c>
      <c r="O13" s="8" t="n">
        <v>4</v>
      </c>
      <c r="P13" s="8" t="n">
        <v>3</v>
      </c>
      <c r="Q13" s="5" t="s">
        <v>173</v>
      </c>
      <c r="R13" s="5" t="s">
        <v>151</v>
      </c>
      <c r="S13" s="11" t="str">
        <f aca="false">IFERROR(INDEX('Clinical Sources'!$M$2:$M$1000,MATCH($A13&amp;"|Annual deaths",'Clinical Sources'!$N$2:$N$1000,0)),"")</f>
        <v/>
      </c>
      <c r="T13" s="11" t="str">
        <f aca="false">IFERROR(INDEX('Clinical Sources'!$M$2:$M$1000,MATCH($A13&amp;"|Case-fatality rate",'Clinical Sources'!$N$2:$N$1000,0)),"")</f>
        <v/>
      </c>
      <c r="U13" s="9" t="s">
        <v>213</v>
      </c>
      <c r="V13" s="22" t="s">
        <v>153</v>
      </c>
      <c r="W13" s="22" t="s">
        <v>153</v>
      </c>
      <c r="X13" s="22"/>
      <c r="Y13" s="22"/>
      <c r="Z13" s="22"/>
      <c r="AA13" s="22"/>
      <c r="AB13" s="22"/>
      <c r="AC13" s="22"/>
      <c r="AD13" s="13" t="s">
        <v>154</v>
      </c>
      <c r="AE13" s="9" t="s">
        <v>214</v>
      </c>
    </row>
    <row r="14" customFormat="false" ht="14.25" hidden="false" customHeight="true" outlineLevel="0" collapsed="false">
      <c r="A14" s="4" t="s">
        <v>33</v>
      </c>
      <c r="B14" s="5" t="s">
        <v>215</v>
      </c>
      <c r="C14" s="9" t="s">
        <v>216</v>
      </c>
      <c r="D14" s="5" t="s">
        <v>165</v>
      </c>
      <c r="E14" s="5" t="s">
        <v>217</v>
      </c>
      <c r="F14" s="11" t="str">
        <f aca="false">IF(COUNTIF(V14:AC14,"Y")=0,"",UPPER(MID(IF(V14="Y","/neurotoxic","")&amp;IF(W14="Y","/hemotoxic","")&amp;IF(X14="Y","/procoagulant","")&amp;IF(Y14="Y","/anticoagulant","")&amp;IF(Z14="Y","/hemorrhagic","")&amp;IF(AA14="Y","/cytotoxic","")&amp;IF(AB14="Y","/myotoxic","")&amp;IF(AC14="Y","/cardiotoxic",""),2,1))&amp;MID(IF(V14="Y","/neurotoxic","")&amp;IF(W14="Y","/hemotoxic","")&amp;IF(X14="Y","/procoagulant","")&amp;IF(Y14="Y","/anticoagulant","")&amp;IF(Z14="Y","/hemorrhagic","")&amp;IF(AA14="Y","/cytotoxic","")&amp;IF(AB14="Y","/myotoxic","")&amp;IF(AC14="Y","/cardiotoxic",""),3,200))</f>
        <v>Neurotoxic</v>
      </c>
      <c r="G14" s="19" t="n">
        <f aca="false">IFERROR(INDEX('LD50 Sources'!$C$2:$C$1000,MATCH($A14,'LD50 Sources'!$L$2:$L$1000,0)),"")</f>
        <v>0.14</v>
      </c>
      <c r="H14" s="11" t="str">
        <f aca="false">IFERROR(INDEX('LD50 Sources'!$D$2:$D$1000,MATCH($A14,'LD50 Sources'!$L$2:$L$1000,0))&amp;"","")</f>
        <v>SC</v>
      </c>
      <c r="I14" s="11" t="str">
        <f aca="false">IFERROR(INDEX('LD50 Sources'!$H$2:$H$1000,MATCH($A14,'LD50 Sources'!$L$2:$L$1000,0))&amp;"","")</f>
        <v>C</v>
      </c>
      <c r="J14" s="20" t="str">
        <f aca="false">IF(COUNTIFS('LD50 Sources'!$A$2:$A$1000,$A14,'LD50 Sources'!$K$2:$K$1000,1)&lt;2,"",ROUND(_xlfn.MAXIFS('LD50 Sources'!$C$2:$C$1000,'LD50 Sources'!$A$2:$A$1000,$A14,'LD50 Sources'!$K$2:$K$1000,1)/_xlfn.MINIFS('LD50 Sources'!$C$2:$C$1000,'LD50 Sources'!$A$2:$A$1000,$A14,'LD50 Sources'!$K$2:$K$1000,1),1))</f>
        <v/>
      </c>
      <c r="K14" s="21" t="n">
        <f aca="false">IFERROR(INDEX('Yield Sources'!$C$2:$C$1000,MATCH($A14,'Yield Sources'!$N$2:$N$1000,0)),"")</f>
        <v>90</v>
      </c>
      <c r="L14" s="21" t="n">
        <f aca="false">IFERROR(INDEX('Yield Sources'!$D$2:$D$1000,MATCH($A14,'Yield Sources'!$N$2:$N$1000,0)),"")</f>
        <v>100</v>
      </c>
      <c r="M14" s="11" t="str">
        <f aca="false">IFERROR(INDEX('Yield Sources'!$J$2:$J$1000,MATCH($A14,'Yield Sources'!$N$2:$N$1000,0))&amp;"","")</f>
        <v>C</v>
      </c>
      <c r="N14" s="20" t="str">
        <f aca="false">IF(COUNTIFS('Yield Sources'!$A$2:$A$1000,$A14,'Yield Sources'!$M$2:$M$1000,1)&lt;2,"",ROUND(_xlfn.MAXIFS('Yield Sources'!$D$2:$D$1000,'Yield Sources'!$A$2:$A$1000,$A14,'Yield Sources'!$M$2:$M$1000,1)/_xlfn.MINIFS('Yield Sources'!$D$2:$D$1000,'Yield Sources'!$A$2:$A$1000,$A14,'Yield Sources'!$M$2:$M$1000,1),1))</f>
        <v/>
      </c>
      <c r="O14" s="8" t="n">
        <v>7</v>
      </c>
      <c r="P14" s="8" t="n">
        <v>3</v>
      </c>
      <c r="Q14" s="5" t="s">
        <v>180</v>
      </c>
      <c r="R14" s="5" t="s">
        <v>160</v>
      </c>
      <c r="S14" s="11" t="str">
        <f aca="false">IFERROR(INDEX('Clinical Sources'!$M$2:$M$1000,MATCH($A14&amp;"|Annual deaths",'Clinical Sources'!$N$2:$N$1000,0)),"")</f>
        <v/>
      </c>
      <c r="T14" s="11" t="str">
        <f aca="false">IFERROR(INDEX('Clinical Sources'!$M$2:$M$1000,MATCH($A14&amp;"|Case-fatality rate",'Clinical Sources'!$N$2:$N$1000,0)),"")</f>
        <v/>
      </c>
      <c r="U14" s="9" t="s">
        <v>218</v>
      </c>
      <c r="V14" s="22" t="s">
        <v>153</v>
      </c>
      <c r="W14" s="22"/>
      <c r="X14" s="22"/>
      <c r="Y14" s="22"/>
      <c r="Z14" s="22"/>
      <c r="AA14" s="22"/>
      <c r="AB14" s="22"/>
      <c r="AC14" s="22"/>
      <c r="AD14" s="13" t="s">
        <v>154</v>
      </c>
      <c r="AE14" s="9" t="s">
        <v>219</v>
      </c>
    </row>
    <row r="15" customFormat="false" ht="26.25" hidden="false" customHeight="true" outlineLevel="0" collapsed="false">
      <c r="A15" s="4" t="s">
        <v>43</v>
      </c>
      <c r="B15" s="5" t="s">
        <v>220</v>
      </c>
      <c r="C15" s="9"/>
      <c r="D15" s="5" t="s">
        <v>148</v>
      </c>
      <c r="E15" s="5" t="s">
        <v>221</v>
      </c>
      <c r="F15" s="11" t="str">
        <f aca="false">IF(COUNTIF(V15:AC15,"Y")=0,"",UPPER(MID(IF(V15="Y","/neurotoxic","")&amp;IF(W15="Y","/hemotoxic","")&amp;IF(X15="Y","/procoagulant","")&amp;IF(Y15="Y","/anticoagulant","")&amp;IF(Z15="Y","/hemorrhagic","")&amp;IF(AA15="Y","/cytotoxic","")&amp;IF(AB15="Y","/myotoxic","")&amp;IF(AC15="Y","/cardiotoxic",""),2,1))&amp;MID(IF(V15="Y","/neurotoxic","")&amp;IF(W15="Y","/hemotoxic","")&amp;IF(X15="Y","/procoagulant","")&amp;IF(Y15="Y","/anticoagulant","")&amp;IF(Z15="Y","/hemorrhagic","")&amp;IF(AA15="Y","/cytotoxic","")&amp;IF(AB15="Y","/myotoxic","")&amp;IF(AC15="Y","/cardiotoxic",""),3,200))</f>
        <v>Hemotoxic</v>
      </c>
      <c r="G15" s="19" t="n">
        <f aca="false">IFERROR(INDEX('LD50 Sources'!$C$2:$C$1000,MATCH($A15,'LD50 Sources'!$L$2:$L$1000,0)),"")</f>
        <v>1.2</v>
      </c>
      <c r="H15" s="11" t="str">
        <f aca="false">IFERROR(INDEX('LD50 Sources'!$D$2:$D$1000,MATCH($A15,'LD50 Sources'!$L$2:$L$1000,0))&amp;"","")</f>
        <v>SC</v>
      </c>
      <c r="I15" s="11" t="str">
        <f aca="false">IFERROR(INDEX('LD50 Sources'!$H$2:$H$1000,MATCH($A15,'LD50 Sources'!$L$2:$L$1000,0))&amp;"","")</f>
        <v>D</v>
      </c>
      <c r="J15" s="20" t="n">
        <f aca="false">IF(COUNTIFS('LD50 Sources'!$A$2:$A$1000,$A15,'LD50 Sources'!$K$2:$K$1000,1)&lt;2,"",ROUND(_xlfn.MAXIFS('LD50 Sources'!$C$2:$C$1000,'LD50 Sources'!$A$2:$A$1000,$A15,'LD50 Sources'!$K$2:$K$1000,1)/_xlfn.MINIFS('LD50 Sources'!$C$2:$C$1000,'LD50 Sources'!$A$2:$A$1000,$A15,'LD50 Sources'!$K$2:$K$1000,1),1))</f>
        <v>9.5</v>
      </c>
      <c r="K15" s="21" t="n">
        <f aca="false">IFERROR(INDEX('Yield Sources'!$C$2:$C$1000,MATCH($A15,'Yield Sources'!$N$2:$N$1000,0)),"")</f>
        <v>200</v>
      </c>
      <c r="L15" s="21" t="n">
        <f aca="false">IFERROR(INDEX('Yield Sources'!$D$2:$D$1000,MATCH($A15,'Yield Sources'!$N$2:$N$1000,0)),"")</f>
        <v>850</v>
      </c>
      <c r="M15" s="11" t="str">
        <f aca="false">IFERROR(INDEX('Yield Sources'!$J$2:$J$1000,MATCH($A15,'Yield Sources'!$N$2:$N$1000,0))&amp;"","")</f>
        <v>C</v>
      </c>
      <c r="N15" s="20" t="str">
        <f aca="false">IF(COUNTIFS('Yield Sources'!$A$2:$A$1000,$A15,'Yield Sources'!$M$2:$M$1000,1)&lt;2,"",ROUND(_xlfn.MAXIFS('Yield Sources'!$D$2:$D$1000,'Yield Sources'!$A$2:$A$1000,$A15,'Yield Sources'!$M$2:$M$1000,1)/_xlfn.MINIFS('Yield Sources'!$D$2:$D$1000,'Yield Sources'!$A$2:$A$1000,$A15,'Yield Sources'!$M$2:$M$1000,1),1))</f>
        <v/>
      </c>
      <c r="O15" s="8" t="n">
        <v>4</v>
      </c>
      <c r="P15" s="8" t="n">
        <v>3</v>
      </c>
      <c r="Q15" s="5" t="s">
        <v>159</v>
      </c>
      <c r="R15" s="5" t="s">
        <v>151</v>
      </c>
      <c r="S15" s="11" t="str">
        <f aca="false">IFERROR(INDEX('Clinical Sources'!$M$2:$M$1000,MATCH($A15&amp;"|Annual deaths",'Clinical Sources'!$N$2:$N$1000,0)),"")</f>
        <v>&lt;1 (USA) *</v>
      </c>
      <c r="T15" s="11" t="str">
        <f aca="false">IFERROR(INDEX('Clinical Sources'!$M$2:$M$1000,MATCH($A15&amp;"|Case-fatality rate",'Clinical Sources'!$N$2:$N$1000,0)),"")</f>
        <v/>
      </c>
      <c r="U15" s="9" t="s">
        <v>222</v>
      </c>
      <c r="V15" s="22"/>
      <c r="W15" s="22" t="s">
        <v>153</v>
      </c>
      <c r="X15" s="22"/>
      <c r="Y15" s="22"/>
      <c r="Z15" s="22"/>
      <c r="AA15" s="22"/>
      <c r="AB15" s="22"/>
      <c r="AC15" s="22"/>
      <c r="AD15" s="13" t="s">
        <v>154</v>
      </c>
      <c r="AE15" s="9" t="s">
        <v>223</v>
      </c>
    </row>
    <row r="16" customFormat="false" ht="26.25" hidden="false" customHeight="true" outlineLevel="0" collapsed="false">
      <c r="A16" s="4" t="s">
        <v>35</v>
      </c>
      <c r="B16" s="5" t="s">
        <v>224</v>
      </c>
      <c r="C16" s="9"/>
      <c r="D16" s="5" t="s">
        <v>148</v>
      </c>
      <c r="E16" s="5" t="s">
        <v>225</v>
      </c>
      <c r="F16" s="11" t="str">
        <f aca="false">IF(COUNTIF(V16:AC16,"Y")=0,"",UPPER(MID(IF(V16="Y","/neurotoxic","")&amp;IF(W16="Y","/hemotoxic","")&amp;IF(X16="Y","/procoagulant","")&amp;IF(Y16="Y","/anticoagulant","")&amp;IF(Z16="Y","/hemorrhagic","")&amp;IF(AA16="Y","/cytotoxic","")&amp;IF(AB16="Y","/myotoxic","")&amp;IF(AC16="Y","/cardiotoxic",""),2,1))&amp;MID(IF(V16="Y","/neurotoxic","")&amp;IF(W16="Y","/hemotoxic","")&amp;IF(X16="Y","/procoagulant","")&amp;IF(Y16="Y","/anticoagulant","")&amp;IF(Z16="Y","/hemorrhagic","")&amp;IF(AA16="Y","/cytotoxic","")&amp;IF(AB16="Y","/myotoxic","")&amp;IF(AC16="Y","/cardiotoxic",""),3,200))</f>
        <v>Hemotoxic</v>
      </c>
      <c r="G16" s="19" t="n">
        <f aca="false">IFERROR(INDEX('LD50 Sources'!$C$2:$C$1000,MATCH($A16,'LD50 Sources'!$L$2:$L$1000,0)),"")</f>
        <v>0.46</v>
      </c>
      <c r="H16" s="11" t="str">
        <f aca="false">IFERROR(INDEX('LD50 Sources'!$D$2:$D$1000,MATCH($A16,'LD50 Sources'!$L$2:$L$1000,0))&amp;"","")</f>
        <v>SC</v>
      </c>
      <c r="I16" s="11" t="str">
        <f aca="false">IFERROR(INDEX('LD50 Sources'!$H$2:$H$1000,MATCH($A16,'LD50 Sources'!$L$2:$L$1000,0))&amp;"","")</f>
        <v>C</v>
      </c>
      <c r="J16" s="20" t="str">
        <f aca="false">IF(COUNTIFS('LD50 Sources'!$A$2:$A$1000,$A16,'LD50 Sources'!$K$2:$K$1000,1)&lt;2,"",ROUND(_xlfn.MAXIFS('LD50 Sources'!$C$2:$C$1000,'LD50 Sources'!$A$2:$A$1000,$A16,'LD50 Sources'!$K$2:$K$1000,1)/_xlfn.MINIFS('LD50 Sources'!$C$2:$C$1000,'LD50 Sources'!$A$2:$A$1000,$A16,'LD50 Sources'!$K$2:$K$1000,1),1))</f>
        <v/>
      </c>
      <c r="K16" s="21" t="n">
        <f aca="false">IFERROR(INDEX('Yield Sources'!$C$2:$C$1000,MATCH($A16,'Yield Sources'!$N$2:$N$1000,0)),"")</f>
        <v>200</v>
      </c>
      <c r="L16" s="21" t="n">
        <f aca="false">IFERROR(INDEX('Yield Sources'!$D$2:$D$1000,MATCH($A16,'Yield Sources'!$N$2:$N$1000,0)),"")</f>
        <v>321</v>
      </c>
      <c r="M16" s="11" t="str">
        <f aca="false">IFERROR(INDEX('Yield Sources'!$J$2:$J$1000,MATCH($A16,'Yield Sources'!$N$2:$N$1000,0))&amp;"","")</f>
        <v>C</v>
      </c>
      <c r="N16" s="20" t="str">
        <f aca="false">IF(COUNTIFS('Yield Sources'!$A$2:$A$1000,$A16,'Yield Sources'!$M$2:$M$1000,1)&lt;2,"",ROUND(_xlfn.MAXIFS('Yield Sources'!$D$2:$D$1000,'Yield Sources'!$A$2:$A$1000,$A16,'Yield Sources'!$M$2:$M$1000,1)/_xlfn.MINIFS('Yield Sources'!$D$2:$D$1000,'Yield Sources'!$A$2:$A$1000,$A16,'Yield Sources'!$M$2:$M$1000,1),1))</f>
        <v/>
      </c>
      <c r="O16" s="8" t="n">
        <v>5</v>
      </c>
      <c r="P16" s="8" t="n">
        <v>4</v>
      </c>
      <c r="Q16" s="5" t="s">
        <v>150</v>
      </c>
      <c r="R16" s="5" t="s">
        <v>160</v>
      </c>
      <c r="S16" s="11" t="str">
        <f aca="false">IFERROR(INDEX('Clinical Sources'!$M$2:$M$1000,MATCH($A16&amp;"|Annual deaths",'Clinical Sources'!$N$2:$N$1000,0)),"")</f>
        <v/>
      </c>
      <c r="T16" s="11" t="str">
        <f aca="false">IFERROR(INDEX('Clinical Sources'!$M$2:$M$1000,MATCH($A16&amp;"|Case-fatality rate",'Clinical Sources'!$N$2:$N$1000,0)),"")</f>
        <v/>
      </c>
      <c r="U16" s="9" t="s">
        <v>226</v>
      </c>
      <c r="V16" s="22"/>
      <c r="W16" s="22" t="s">
        <v>153</v>
      </c>
      <c r="X16" s="22"/>
      <c r="Y16" s="22"/>
      <c r="Z16" s="22"/>
      <c r="AA16" s="22"/>
      <c r="AB16" s="22"/>
      <c r="AC16" s="22"/>
      <c r="AD16" s="13" t="s">
        <v>154</v>
      </c>
      <c r="AE16" s="9" t="s">
        <v>227</v>
      </c>
    </row>
    <row r="17" customFormat="false" ht="26.25" hidden="false" customHeight="true" outlineLevel="0" collapsed="false">
      <c r="A17" s="4" t="s">
        <v>34</v>
      </c>
      <c r="B17" s="5" t="s">
        <v>228</v>
      </c>
      <c r="C17" s="9" t="s">
        <v>229</v>
      </c>
      <c r="D17" s="5" t="s">
        <v>148</v>
      </c>
      <c r="E17" s="5" t="s">
        <v>230</v>
      </c>
      <c r="F17" s="11" t="str">
        <f aca="false">IF(COUNTIF(V17:AC17,"Y")=0,"",UPPER(MID(IF(V17="Y","/neurotoxic","")&amp;IF(W17="Y","/hemotoxic","")&amp;IF(X17="Y","/procoagulant","")&amp;IF(Y17="Y","/anticoagulant","")&amp;IF(Z17="Y","/hemorrhagic","")&amp;IF(AA17="Y","/cytotoxic","")&amp;IF(AB17="Y","/myotoxic","")&amp;IF(AC17="Y","/cardiotoxic",""),2,1))&amp;MID(IF(V17="Y","/neurotoxic","")&amp;IF(W17="Y","/hemotoxic","")&amp;IF(X17="Y","/procoagulant","")&amp;IF(Y17="Y","/anticoagulant","")&amp;IF(Z17="Y","/hemorrhagic","")&amp;IF(AA17="Y","/cytotoxic","")&amp;IF(AB17="Y","/myotoxic","")&amp;IF(AC17="Y","/cardiotoxic",""),3,200))</f>
        <v>Neurotoxic/myotoxic</v>
      </c>
      <c r="G17" s="19" t="n">
        <f aca="false">IFERROR(INDEX('LD50 Sources'!$C$2:$C$1000,MATCH($A17,'LD50 Sources'!$L$2:$L$1000,0)),"")</f>
        <v>0.17</v>
      </c>
      <c r="H17" s="11" t="str">
        <f aca="false">IFERROR(INDEX('LD50 Sources'!$D$2:$D$1000,MATCH($A17,'LD50 Sources'!$L$2:$L$1000,0))&amp;"","")</f>
        <v>SC</v>
      </c>
      <c r="I17" s="11" t="str">
        <f aca="false">IFERROR(INDEX('LD50 Sources'!$H$2:$H$1000,MATCH($A17,'LD50 Sources'!$L$2:$L$1000,0))&amp;"","")</f>
        <v>C</v>
      </c>
      <c r="J17" s="20" t="str">
        <f aca="false">IF(COUNTIFS('LD50 Sources'!$A$2:$A$1000,$A17,'LD50 Sources'!$K$2:$K$1000,1)&lt;2,"",ROUND(_xlfn.MAXIFS('LD50 Sources'!$C$2:$C$1000,'LD50 Sources'!$A$2:$A$1000,$A17,'LD50 Sources'!$K$2:$K$1000,1)/_xlfn.MINIFS('LD50 Sources'!$C$2:$C$1000,'LD50 Sources'!$A$2:$A$1000,$A17,'LD50 Sources'!$K$2:$K$1000,1),1))</f>
        <v/>
      </c>
      <c r="K17" s="21" t="n">
        <f aca="false">IFERROR(INDEX('Yield Sources'!$C$2:$C$1000,MATCH($A17,'Yield Sources'!$N$2:$N$1000,0)),"")</f>
        <v>20</v>
      </c>
      <c r="L17" s="21" t="n">
        <f aca="false">IFERROR(INDEX('Yield Sources'!$D$2:$D$1000,MATCH($A17,'Yield Sources'!$N$2:$N$1000,0)),"")</f>
        <v>100</v>
      </c>
      <c r="M17" s="11" t="str">
        <f aca="false">IFERROR(INDEX('Yield Sources'!$J$2:$J$1000,MATCH($A17,'Yield Sources'!$N$2:$N$1000,0))&amp;"","")</f>
        <v>C</v>
      </c>
      <c r="N17" s="20" t="n">
        <f aca="false">IF(COUNTIFS('Yield Sources'!$A$2:$A$1000,$A17,'Yield Sources'!$M$2:$M$1000,1)&lt;2,"",ROUND(_xlfn.MAXIFS('Yield Sources'!$D$2:$D$1000,'Yield Sources'!$A$2:$A$1000,$A17,'Yield Sources'!$M$2:$M$1000,1)/_xlfn.MINIFS('Yield Sources'!$D$2:$D$1000,'Yield Sources'!$A$2:$A$1000,$A17,'Yield Sources'!$M$2:$M$1000,1),1))</f>
        <v>3</v>
      </c>
      <c r="O17" s="8" t="n">
        <v>6</v>
      </c>
      <c r="P17" s="8" t="n">
        <v>3</v>
      </c>
      <c r="Q17" s="5" t="s">
        <v>167</v>
      </c>
      <c r="R17" s="5" t="s">
        <v>160</v>
      </c>
      <c r="S17" s="11" t="str">
        <f aca="false">IFERROR(INDEX('Clinical Sources'!$M$2:$M$1000,MATCH($A17&amp;"|Annual deaths",'Clinical Sources'!$N$2:$N$1000,0)),"")</f>
        <v/>
      </c>
      <c r="T17" s="11" t="str">
        <f aca="false">IFERROR(INDEX('Clinical Sources'!$M$2:$M$1000,MATCH($A17&amp;"|Case-fatality rate",'Clinical Sources'!$N$2:$N$1000,0)),"")</f>
        <v/>
      </c>
      <c r="U17" s="9" t="s">
        <v>231</v>
      </c>
      <c r="V17" s="22" t="s">
        <v>153</v>
      </c>
      <c r="W17" s="22"/>
      <c r="X17" s="22"/>
      <c r="Y17" s="22"/>
      <c r="Z17" s="22"/>
      <c r="AA17" s="22"/>
      <c r="AB17" s="22" t="s">
        <v>153</v>
      </c>
      <c r="AC17" s="22"/>
      <c r="AD17" s="13" t="s">
        <v>154</v>
      </c>
      <c r="AE17" s="9" t="s">
        <v>232</v>
      </c>
    </row>
    <row r="18" customFormat="false" ht="26.25" hidden="false" customHeight="true" outlineLevel="0" collapsed="false">
      <c r="A18" s="4" t="s">
        <v>44</v>
      </c>
      <c r="B18" s="5" t="s">
        <v>233</v>
      </c>
      <c r="C18" s="9"/>
      <c r="D18" s="5" t="s">
        <v>165</v>
      </c>
      <c r="E18" s="5" t="s">
        <v>149</v>
      </c>
      <c r="F18" s="11" t="str">
        <f aca="false">IF(COUNTIF(V18:AC18,"Y")=0,"",UPPER(MID(IF(V18="Y","/neurotoxic","")&amp;IF(W18="Y","/hemotoxic","")&amp;IF(X18="Y","/procoagulant","")&amp;IF(Y18="Y","/anticoagulant","")&amp;IF(Z18="Y","/hemorrhagic","")&amp;IF(AA18="Y","/cytotoxic","")&amp;IF(AB18="Y","/myotoxic","")&amp;IF(AC18="Y","/cardiotoxic",""),2,1))&amp;MID(IF(V18="Y","/neurotoxic","")&amp;IF(W18="Y","/hemotoxic","")&amp;IF(X18="Y","/procoagulant","")&amp;IF(Y18="Y","/anticoagulant","")&amp;IF(Z18="Y","/hemorrhagic","")&amp;IF(AA18="Y","/cytotoxic","")&amp;IF(AB18="Y","/myotoxic","")&amp;IF(AC18="Y","/cardiotoxic",""),3,200))</f>
        <v>Neurotoxic</v>
      </c>
      <c r="G18" s="19" t="n">
        <f aca="false">IFERROR(INDEX('LD50 Sources'!$C$2:$C$1000,MATCH($A18,'LD50 Sources'!$L$2:$L$1000,0)),"")</f>
        <v>0.9</v>
      </c>
      <c r="H18" s="11" t="str">
        <f aca="false">IFERROR(INDEX('LD50 Sources'!$D$2:$D$1000,MATCH($A18,'LD50 Sources'!$L$2:$L$1000,0))&amp;"","")</f>
        <v>SC</v>
      </c>
      <c r="I18" s="11" t="str">
        <f aca="false">IFERROR(INDEX('LD50 Sources'!$H$2:$H$1000,MATCH($A18,'LD50 Sources'!$L$2:$L$1000,0))&amp;"","")</f>
        <v>D</v>
      </c>
      <c r="J18" s="20" t="n">
        <f aca="false">IF(COUNTIFS('LD50 Sources'!$A$2:$A$1000,$A18,'LD50 Sources'!$K$2:$K$1000,1)&lt;2,"",ROUND(_xlfn.MAXIFS('LD50 Sources'!$C$2:$C$1000,'LD50 Sources'!$A$2:$A$1000,$A18,'LD50 Sources'!$K$2:$K$1000,1)/_xlfn.MINIFS('LD50 Sources'!$C$2:$C$1000,'LD50 Sources'!$A$2:$A$1000,$A18,'LD50 Sources'!$K$2:$K$1000,1),1))</f>
        <v>2</v>
      </c>
      <c r="K18" s="21" t="n">
        <f aca="false">IFERROR(INDEX('Yield Sources'!$C$2:$C$1000,MATCH($A18,'Yield Sources'!$N$2:$N$1000,0)),"")</f>
        <v>350</v>
      </c>
      <c r="L18" s="21" t="n">
        <f aca="false">IFERROR(INDEX('Yield Sources'!$D$2:$D$1000,MATCH($A18,'Yield Sources'!$N$2:$N$1000,0)),"")</f>
        <v>500</v>
      </c>
      <c r="M18" s="11" t="str">
        <f aca="false">IFERROR(INDEX('Yield Sources'!$J$2:$J$1000,MATCH($A18,'Yield Sources'!$N$2:$N$1000,0))&amp;"","")</f>
        <v>C</v>
      </c>
      <c r="N18" s="20" t="str">
        <f aca="false">IF(COUNTIFS('Yield Sources'!$A$2:$A$1000,$A18,'Yield Sources'!$M$2:$M$1000,1)&lt;2,"",ROUND(_xlfn.MAXIFS('Yield Sources'!$D$2:$D$1000,'Yield Sources'!$A$2:$A$1000,$A18,'Yield Sources'!$M$2:$M$1000,1)/_xlfn.MINIFS('Yield Sources'!$D$2:$D$1000,'Yield Sources'!$A$2:$A$1000,$A18,'Yield Sources'!$M$2:$M$1000,1),1))</f>
        <v/>
      </c>
      <c r="O18" s="8" t="n">
        <v>3</v>
      </c>
      <c r="P18" s="8" t="n">
        <v>2</v>
      </c>
      <c r="Q18" s="5" t="s">
        <v>167</v>
      </c>
      <c r="R18" s="5" t="s">
        <v>160</v>
      </c>
      <c r="S18" s="11" t="str">
        <f aca="false">IFERROR(INDEX('Clinical Sources'!$M$2:$M$1000,MATCH($A18&amp;"|Annual deaths",'Clinical Sources'!$N$2:$N$1000,0)),"")</f>
        <v/>
      </c>
      <c r="T18" s="11" t="str">
        <f aca="false">IFERROR(INDEX('Clinical Sources'!$M$2:$M$1000,MATCH($A18&amp;"|Case-fatality rate",'Clinical Sources'!$N$2:$N$1000,0)),"")</f>
        <v/>
      </c>
      <c r="U18" s="9" t="s">
        <v>234</v>
      </c>
      <c r="V18" s="22" t="s">
        <v>153</v>
      </c>
      <c r="W18" s="22"/>
      <c r="X18" s="22"/>
      <c r="Y18" s="22"/>
      <c r="Z18" s="22"/>
      <c r="AA18" s="22"/>
      <c r="AB18" s="22"/>
      <c r="AC18" s="22"/>
      <c r="AD18" s="13" t="s">
        <v>154</v>
      </c>
      <c r="AE18" s="9" t="s">
        <v>235</v>
      </c>
    </row>
    <row r="19" customFormat="false" ht="26.25" hidden="false" customHeight="true" outlineLevel="0" collapsed="false">
      <c r="A19" s="4" t="s">
        <v>42</v>
      </c>
      <c r="B19" s="5" t="s">
        <v>236</v>
      </c>
      <c r="C19" s="9" t="s">
        <v>237</v>
      </c>
      <c r="D19" s="5" t="s">
        <v>165</v>
      </c>
      <c r="E19" s="5" t="s">
        <v>238</v>
      </c>
      <c r="F19" s="11" t="str">
        <f aca="false">IF(COUNTIF(V19:AC19,"Y")=0,"",UPPER(MID(IF(V19="Y","/neurotoxic","")&amp;IF(W19="Y","/hemotoxic","")&amp;IF(X19="Y","/procoagulant","")&amp;IF(Y19="Y","/anticoagulant","")&amp;IF(Z19="Y","/hemorrhagic","")&amp;IF(AA19="Y","/cytotoxic","")&amp;IF(AB19="Y","/myotoxic","")&amp;IF(AC19="Y","/cardiotoxic",""),2,1))&amp;MID(IF(V19="Y","/neurotoxic","")&amp;IF(W19="Y","/hemotoxic","")&amp;IF(X19="Y","/procoagulant","")&amp;IF(Y19="Y","/anticoagulant","")&amp;IF(Z19="Y","/hemorrhagic","")&amp;IF(AA19="Y","/cytotoxic","")&amp;IF(AB19="Y","/myotoxic","")&amp;IF(AC19="Y","/cardiotoxic",""),3,200))</f>
        <v>Neurotoxic/cytotoxic</v>
      </c>
      <c r="G19" s="19" t="n">
        <f aca="false">IFERROR(INDEX('LD50 Sources'!$C$2:$C$1000,MATCH($A19,'LD50 Sources'!$L$2:$L$1000,0)),"")</f>
        <v>0.45</v>
      </c>
      <c r="H19" s="11" t="str">
        <f aca="false">IFERROR(INDEX('LD50 Sources'!$D$2:$D$1000,MATCH($A19,'LD50 Sources'!$L$2:$L$1000,0))&amp;"","")</f>
        <v>SC</v>
      </c>
      <c r="I19" s="11" t="str">
        <f aca="false">IFERROR(INDEX('LD50 Sources'!$H$2:$H$1000,MATCH($A19,'LD50 Sources'!$L$2:$L$1000,0))&amp;"","")</f>
        <v>D</v>
      </c>
      <c r="J19" s="20" t="n">
        <f aca="false">IF(COUNTIFS('LD50 Sources'!$A$2:$A$1000,$A19,'LD50 Sources'!$K$2:$K$1000,1)&lt;2,"",ROUND(_xlfn.MAXIFS('LD50 Sources'!$C$2:$C$1000,'LD50 Sources'!$A$2:$A$1000,$A19,'LD50 Sources'!$K$2:$K$1000,1)/_xlfn.MINIFS('LD50 Sources'!$C$2:$C$1000,'LD50 Sources'!$A$2:$A$1000,$A19,'LD50 Sources'!$K$2:$K$1000,1),1))</f>
        <v>1.3</v>
      </c>
      <c r="K19" s="21" t="n">
        <f aca="false">IFERROR(INDEX('Yield Sources'!$C$2:$C$1000,MATCH($A19,'Yield Sources'!$N$2:$N$1000,0)),"")</f>
        <v>169</v>
      </c>
      <c r="L19" s="21" t="n">
        <f aca="false">IFERROR(INDEX('Yield Sources'!$D$2:$D$1000,MATCH($A19,'Yield Sources'!$N$2:$N$1000,0)),"")</f>
        <v>250</v>
      </c>
      <c r="M19" s="11" t="str">
        <f aca="false">IFERROR(INDEX('Yield Sources'!$J$2:$J$1000,MATCH($A19,'Yield Sources'!$N$2:$N$1000,0))&amp;"","")</f>
        <v>C</v>
      </c>
      <c r="N19" s="20" t="str">
        <f aca="false">IF(COUNTIFS('Yield Sources'!$A$2:$A$1000,$A19,'Yield Sources'!$M$2:$M$1000,1)&lt;2,"",ROUND(_xlfn.MAXIFS('Yield Sources'!$D$2:$D$1000,'Yield Sources'!$A$2:$A$1000,$A19,'Yield Sources'!$M$2:$M$1000,1)/_xlfn.MINIFS('Yield Sources'!$D$2:$D$1000,'Yield Sources'!$A$2:$A$1000,$A19,'Yield Sources'!$M$2:$M$1000,1),1))</f>
        <v/>
      </c>
      <c r="O19" s="8" t="n">
        <v>10</v>
      </c>
      <c r="P19" s="8" t="n">
        <v>3</v>
      </c>
      <c r="Q19" s="5" t="s">
        <v>167</v>
      </c>
      <c r="R19" s="5" t="s">
        <v>151</v>
      </c>
      <c r="S19" s="11" t="str">
        <f aca="false">IFERROR(INDEX('Clinical Sources'!$M$2:$M$1000,MATCH($A19&amp;"|Annual deaths",'Clinical Sources'!$N$2:$N$1000,0)),"")</f>
        <v/>
      </c>
      <c r="T19" s="11" t="str">
        <f aca="false">IFERROR(INDEX('Clinical Sources'!$M$2:$M$1000,MATCH($A19&amp;"|Case-fatality rate",'Clinical Sources'!$N$2:$N$1000,0)),"")</f>
        <v/>
      </c>
      <c r="U19" s="9" t="s">
        <v>239</v>
      </c>
      <c r="V19" s="22" t="s">
        <v>153</v>
      </c>
      <c r="W19" s="22"/>
      <c r="X19" s="22"/>
      <c r="Y19" s="22"/>
      <c r="Z19" s="22"/>
      <c r="AA19" s="22" t="s">
        <v>153</v>
      </c>
      <c r="AB19" s="22"/>
      <c r="AC19" s="22"/>
      <c r="AD19" s="13" t="s">
        <v>154</v>
      </c>
      <c r="AE19" s="9" t="s">
        <v>240</v>
      </c>
    </row>
    <row r="20" customFormat="false" ht="52.5" hidden="false" customHeight="true" outlineLevel="0" collapsed="false">
      <c r="A20" s="4" t="s">
        <v>39</v>
      </c>
      <c r="B20" s="5" t="s">
        <v>241</v>
      </c>
      <c r="C20" s="9" t="s">
        <v>242</v>
      </c>
      <c r="D20" s="5" t="s">
        <v>148</v>
      </c>
      <c r="E20" s="5" t="s">
        <v>243</v>
      </c>
      <c r="F20" s="11" t="str">
        <f aca="false">IF(COUNTIF(V20:AC20,"Y")=0,"",UPPER(MID(IF(V20="Y","/neurotoxic","")&amp;IF(W20="Y","/hemotoxic","")&amp;IF(X20="Y","/procoagulant","")&amp;IF(Y20="Y","/anticoagulant","")&amp;IF(Z20="Y","/hemorrhagic","")&amp;IF(AA20="Y","/cytotoxic","")&amp;IF(AB20="Y","/myotoxic","")&amp;IF(AC20="Y","/cardiotoxic",""),2,1))&amp;MID(IF(V20="Y","/neurotoxic","")&amp;IF(W20="Y","/hemotoxic","")&amp;IF(X20="Y","/procoagulant","")&amp;IF(Y20="Y","/anticoagulant","")&amp;IF(Z20="Y","/hemorrhagic","")&amp;IF(AA20="Y","/cytotoxic","")&amp;IF(AB20="Y","/myotoxic","")&amp;IF(AC20="Y","/cardiotoxic",""),3,200))</f>
        <v>Hemotoxic</v>
      </c>
      <c r="G20" s="19" t="n">
        <f aca="false">IFERROR(INDEX('LD50 Sources'!$C$2:$C$1000,MATCH($A20,'LD50 Sources'!$L$2:$L$1000,0)),"")</f>
        <v>0.15</v>
      </c>
      <c r="H20" s="11" t="str">
        <f aca="false">IFERROR(INDEX('LD50 Sources'!$D$2:$D$1000,MATCH($A20,'LD50 Sources'!$L$2:$L$1000,0))&amp;"","")</f>
        <v>SC</v>
      </c>
      <c r="I20" s="11" t="str">
        <f aca="false">IFERROR(INDEX('LD50 Sources'!$H$2:$H$1000,MATCH($A20,'LD50 Sources'!$L$2:$L$1000,0))&amp;"","")</f>
        <v>C</v>
      </c>
      <c r="J20" s="20" t="str">
        <f aca="false">IF(COUNTIFS('LD50 Sources'!$A$2:$A$1000,$A20,'LD50 Sources'!$K$2:$K$1000,1)&lt;2,"",ROUND(_xlfn.MAXIFS('LD50 Sources'!$C$2:$C$1000,'LD50 Sources'!$A$2:$A$1000,$A20,'LD50 Sources'!$K$2:$K$1000,1)/_xlfn.MINIFS('LD50 Sources'!$C$2:$C$1000,'LD50 Sources'!$A$2:$A$1000,$A20,'LD50 Sources'!$K$2:$K$1000,1),1))</f>
        <v/>
      </c>
      <c r="K20" s="21" t="n">
        <f aca="false">IFERROR(INDEX('Yield Sources'!$C$2:$C$1000,MATCH($A20,'Yield Sources'!$N$2:$N$1000,0)),"")</f>
        <v>5</v>
      </c>
      <c r="L20" s="21" t="n">
        <f aca="false">IFERROR(INDEX('Yield Sources'!$D$2:$D$1000,MATCH($A20,'Yield Sources'!$N$2:$N$1000,0)),"")</f>
        <v>70</v>
      </c>
      <c r="M20" s="11" t="str">
        <f aca="false">IFERROR(INDEX('Yield Sources'!$J$2:$J$1000,MATCH($A20,'Yield Sources'!$N$2:$N$1000,0))&amp;"","")</f>
        <v>C</v>
      </c>
      <c r="N20" s="20" t="str">
        <f aca="false">IF(COUNTIFS('Yield Sources'!$A$2:$A$1000,$A20,'Yield Sources'!$M$2:$M$1000,1)&lt;2,"",ROUND(_xlfn.MAXIFS('Yield Sources'!$D$2:$D$1000,'Yield Sources'!$A$2:$A$1000,$A20,'Yield Sources'!$M$2:$M$1000,1)/_xlfn.MINIFS('Yield Sources'!$D$2:$D$1000,'Yield Sources'!$A$2:$A$1000,$A20,'Yield Sources'!$M$2:$M$1000,1),1))</f>
        <v/>
      </c>
      <c r="O20" s="8" t="n">
        <v>10</v>
      </c>
      <c r="P20" s="8" t="n">
        <v>5</v>
      </c>
      <c r="Q20" s="5" t="s">
        <v>159</v>
      </c>
      <c r="R20" s="5" t="s">
        <v>151</v>
      </c>
      <c r="S20" s="11" t="str">
        <f aca="false">IFERROR(INDEX('Clinical Sources'!$M$2:$M$1000,MATCH($A20&amp;"|Annual deaths",'Clinical Sources'!$N$2:$N$1000,0)),"")</f>
        <v/>
      </c>
      <c r="T20" s="11" t="str">
        <f aca="false">IFERROR(INDEX('Clinical Sources'!$M$2:$M$1000,MATCH($A20&amp;"|Case-fatality rate",'Clinical Sources'!$N$2:$N$1000,0)),"")</f>
        <v/>
      </c>
      <c r="U20" s="9" t="s">
        <v>244</v>
      </c>
      <c r="V20" s="22"/>
      <c r="W20" s="22" t="s">
        <v>153</v>
      </c>
      <c r="X20" s="22"/>
      <c r="Y20" s="22"/>
      <c r="Z20" s="22"/>
      <c r="AA20" s="22"/>
      <c r="AB20" s="22"/>
      <c r="AC20" s="22"/>
      <c r="AD20" s="13" t="s">
        <v>154</v>
      </c>
      <c r="AE20" s="9" t="s">
        <v>245</v>
      </c>
    </row>
    <row r="21" customFormat="false" ht="14.25" hidden="false" customHeight="true" outlineLevel="0" collapsed="false">
      <c r="A21" s="4" t="s">
        <v>36</v>
      </c>
      <c r="B21" s="5" t="s">
        <v>246</v>
      </c>
      <c r="C21" s="9" t="s">
        <v>247</v>
      </c>
      <c r="D21" s="5" t="s">
        <v>148</v>
      </c>
      <c r="E21" s="5" t="s">
        <v>192</v>
      </c>
      <c r="F21" s="11" t="str">
        <f aca="false">IF(COUNTIF(V21:AC21,"Y")=0,"",UPPER(MID(IF(V21="Y","/neurotoxic","")&amp;IF(W21="Y","/hemotoxic","")&amp;IF(X21="Y","/procoagulant","")&amp;IF(Y21="Y","/anticoagulant","")&amp;IF(Z21="Y","/hemorrhagic","")&amp;IF(AA21="Y","/cytotoxic","")&amp;IF(AB21="Y","/myotoxic","")&amp;IF(AC21="Y","/cardiotoxic",""),2,1))&amp;MID(IF(V21="Y","/neurotoxic","")&amp;IF(W21="Y","/hemotoxic","")&amp;IF(X21="Y","/procoagulant","")&amp;IF(Y21="Y","/anticoagulant","")&amp;IF(Z21="Y","/hemorrhagic","")&amp;IF(AA21="Y","/cytotoxic","")&amp;IF(AB21="Y","/myotoxic","")&amp;IF(AC21="Y","/cardiotoxic",""),3,200))</f>
        <v>Hemotoxic</v>
      </c>
      <c r="G21" s="19" t="n">
        <f aca="false">IFERROR(INDEX('LD50 Sources'!$C$2:$C$1000,MATCH($A21,'LD50 Sources'!$L$2:$L$1000,0)),"")</f>
        <v>0.1</v>
      </c>
      <c r="H21" s="11" t="str">
        <f aca="false">IFERROR(INDEX('LD50 Sources'!$D$2:$D$1000,MATCH($A21,'LD50 Sources'!$L$2:$L$1000,0))&amp;"","")</f>
        <v>SC</v>
      </c>
      <c r="I21" s="11" t="str">
        <f aca="false">IFERROR(INDEX('LD50 Sources'!$H$2:$H$1000,MATCH($A21,'LD50 Sources'!$L$2:$L$1000,0))&amp;"","")</f>
        <v>C</v>
      </c>
      <c r="J21" s="20" t="str">
        <f aca="false">IF(COUNTIFS('LD50 Sources'!$A$2:$A$1000,$A21,'LD50 Sources'!$K$2:$K$1000,1)&lt;2,"",ROUND(_xlfn.MAXIFS('LD50 Sources'!$C$2:$C$1000,'LD50 Sources'!$A$2:$A$1000,$A21,'LD50 Sources'!$K$2:$K$1000,1)/_xlfn.MINIFS('LD50 Sources'!$C$2:$C$1000,'LD50 Sources'!$A$2:$A$1000,$A21,'LD50 Sources'!$K$2:$K$1000,1),1))</f>
        <v/>
      </c>
      <c r="K21" s="21" t="n">
        <f aca="false">IFERROR(INDEX('Yield Sources'!$C$2:$C$1000,MATCH($A21,'Yield Sources'!$N$2:$N$1000,0)),"")</f>
        <v>20</v>
      </c>
      <c r="L21" s="21" t="n">
        <f aca="false">IFERROR(INDEX('Yield Sources'!$D$2:$D$1000,MATCH($A21,'Yield Sources'!$N$2:$N$1000,0)),"")</f>
        <v>45</v>
      </c>
      <c r="M21" s="11" t="str">
        <f aca="false">IFERROR(INDEX('Yield Sources'!$J$2:$J$1000,MATCH($A21,'Yield Sources'!$N$2:$N$1000,0))&amp;"","")</f>
        <v>C</v>
      </c>
      <c r="N21" s="20" t="str">
        <f aca="false">IF(COUNTIFS('Yield Sources'!$A$2:$A$1000,$A21,'Yield Sources'!$M$2:$M$1000,1)&lt;2,"",ROUND(_xlfn.MAXIFS('Yield Sources'!$D$2:$D$1000,'Yield Sources'!$A$2:$A$1000,$A21,'Yield Sources'!$M$2:$M$1000,1)/_xlfn.MINIFS('Yield Sources'!$D$2:$D$1000,'Yield Sources'!$A$2:$A$1000,$A21,'Yield Sources'!$M$2:$M$1000,1),1))</f>
        <v/>
      </c>
      <c r="O21" s="8" t="n">
        <v>4</v>
      </c>
      <c r="P21" s="8" t="n">
        <v>2</v>
      </c>
      <c r="Q21" s="5" t="s">
        <v>150</v>
      </c>
      <c r="R21" s="5" t="s">
        <v>160</v>
      </c>
      <c r="S21" s="11" t="str">
        <f aca="false">IFERROR(INDEX('Clinical Sources'!$M$2:$M$1000,MATCH($A21&amp;"|Annual deaths",'Clinical Sources'!$N$2:$N$1000,0)),"")</f>
        <v/>
      </c>
      <c r="T21" s="11" t="str">
        <f aca="false">IFERROR(INDEX('Clinical Sources'!$M$2:$M$1000,MATCH($A21&amp;"|Case-fatality rate",'Clinical Sources'!$N$2:$N$1000,0)),"")</f>
        <v/>
      </c>
      <c r="U21" s="9" t="s">
        <v>248</v>
      </c>
      <c r="V21" s="22"/>
      <c r="W21" s="22" t="s">
        <v>153</v>
      </c>
      <c r="X21" s="22"/>
      <c r="Y21" s="22"/>
      <c r="Z21" s="22"/>
      <c r="AA21" s="22"/>
      <c r="AB21" s="22"/>
      <c r="AC21" s="22"/>
      <c r="AD21" s="13" t="s">
        <v>154</v>
      </c>
      <c r="AE21" s="9" t="s">
        <v>249</v>
      </c>
    </row>
    <row r="22" customFormat="false" ht="26.25" hidden="false" customHeight="true" outlineLevel="0" collapsed="false">
      <c r="A22" s="4" t="s">
        <v>41</v>
      </c>
      <c r="B22" s="5" t="s">
        <v>250</v>
      </c>
      <c r="C22" s="9"/>
      <c r="D22" s="5" t="s">
        <v>165</v>
      </c>
      <c r="E22" s="5" t="s">
        <v>251</v>
      </c>
      <c r="F22" s="11" t="str">
        <f aca="false">IF(COUNTIF(V22:AC22,"Y")=0,"",UPPER(MID(IF(V22="Y","/neurotoxic","")&amp;IF(W22="Y","/hemotoxic","")&amp;IF(X22="Y","/procoagulant","")&amp;IF(Y22="Y","/anticoagulant","")&amp;IF(Z22="Y","/hemorrhagic","")&amp;IF(AA22="Y","/cytotoxic","")&amp;IF(AB22="Y","/myotoxic","")&amp;IF(AC22="Y","/cardiotoxic",""),2,1))&amp;MID(IF(V22="Y","/neurotoxic","")&amp;IF(W22="Y","/hemotoxic","")&amp;IF(X22="Y","/procoagulant","")&amp;IF(Y22="Y","/anticoagulant","")&amp;IF(Z22="Y","/hemorrhagic","")&amp;IF(AA22="Y","/cytotoxic","")&amp;IF(AB22="Y","/myotoxic","")&amp;IF(AC22="Y","/cardiotoxic",""),3,200))</f>
        <v>Neurotoxic</v>
      </c>
      <c r="G22" s="19" t="n">
        <f aca="false">IFERROR(INDEX('LD50 Sources'!$C$2:$C$1000,MATCH($A22,'LD50 Sources'!$L$2:$L$1000,0)),"")</f>
        <v>0.4</v>
      </c>
      <c r="H22" s="11" t="str">
        <f aca="false">IFERROR(INDEX('LD50 Sources'!$D$2:$D$1000,MATCH($A22,'LD50 Sources'!$L$2:$L$1000,0))&amp;"","")</f>
        <v>SC</v>
      </c>
      <c r="I22" s="11" t="str">
        <f aca="false">IFERROR(INDEX('LD50 Sources'!$H$2:$H$1000,MATCH($A22,'LD50 Sources'!$L$2:$L$1000,0))&amp;"","")</f>
        <v>A</v>
      </c>
      <c r="J22" s="20" t="str">
        <f aca="false">IF(COUNTIFS('LD50 Sources'!$A$2:$A$1000,$A22,'LD50 Sources'!$K$2:$K$1000,1)&lt;2,"",ROUND(_xlfn.MAXIFS('LD50 Sources'!$C$2:$C$1000,'LD50 Sources'!$A$2:$A$1000,$A22,'LD50 Sources'!$K$2:$K$1000,1)/_xlfn.MINIFS('LD50 Sources'!$C$2:$C$1000,'LD50 Sources'!$A$2:$A$1000,$A22,'LD50 Sources'!$K$2:$K$1000,1),1))</f>
        <v/>
      </c>
      <c r="K22" s="21" t="n">
        <f aca="false">IFERROR(INDEX('Yield Sources'!$C$2:$C$1000,MATCH($A22,'Yield Sources'!$N$2:$N$1000,0)),"")</f>
        <v>70</v>
      </c>
      <c r="L22" s="21" t="n">
        <f aca="false">IFERROR(INDEX('Yield Sources'!$D$2:$D$1000,MATCH($A22,'Yield Sources'!$N$2:$N$1000,0)),"")</f>
        <v>236</v>
      </c>
      <c r="M22" s="11" t="str">
        <f aca="false">IFERROR(INDEX('Yield Sources'!$J$2:$J$1000,MATCH($A22,'Yield Sources'!$N$2:$N$1000,0))&amp;"","")</f>
        <v>C</v>
      </c>
      <c r="N22" s="20" t="str">
        <f aca="false">IF(COUNTIFS('Yield Sources'!$A$2:$A$1000,$A22,'Yield Sources'!$M$2:$M$1000,1)&lt;2,"",ROUND(_xlfn.MAXIFS('Yield Sources'!$D$2:$D$1000,'Yield Sources'!$A$2:$A$1000,$A22,'Yield Sources'!$M$2:$M$1000,1)/_xlfn.MINIFS('Yield Sources'!$D$2:$D$1000,'Yield Sources'!$A$2:$A$1000,$A22,'Yield Sources'!$M$2:$M$1000,1),1))</f>
        <v/>
      </c>
      <c r="O22" s="8" t="n">
        <v>4</v>
      </c>
      <c r="P22" s="8" t="n">
        <v>4</v>
      </c>
      <c r="Q22" s="5" t="s">
        <v>167</v>
      </c>
      <c r="R22" s="5" t="s">
        <v>151</v>
      </c>
      <c r="S22" s="11" t="str">
        <f aca="false">IFERROR(INDEX('Clinical Sources'!$M$2:$M$1000,MATCH($A22&amp;"|Annual deaths",'Clinical Sources'!$N$2:$N$1000,0)),"")</f>
        <v/>
      </c>
      <c r="T22" s="11" t="str">
        <f aca="false">IFERROR(INDEX('Clinical Sources'!$M$2:$M$1000,MATCH($A22&amp;"|Case-fatality rate",'Clinical Sources'!$N$2:$N$1000,0)),"")</f>
        <v/>
      </c>
      <c r="U22" s="9" t="s">
        <v>252</v>
      </c>
      <c r="V22" s="22" t="s">
        <v>153</v>
      </c>
      <c r="W22" s="22"/>
      <c r="X22" s="22"/>
      <c r="Y22" s="22"/>
      <c r="Z22" s="22"/>
      <c r="AA22" s="22"/>
      <c r="AB22" s="22"/>
      <c r="AC22" s="22"/>
      <c r="AD22" s="13" t="s">
        <v>154</v>
      </c>
      <c r="AE22" s="9" t="s">
        <v>253</v>
      </c>
    </row>
    <row r="23" customFormat="false" ht="26.25" hidden="false" customHeight="true" outlineLevel="0" collapsed="false">
      <c r="A23" s="4" t="s">
        <v>49</v>
      </c>
      <c r="B23" s="5" t="s">
        <v>254</v>
      </c>
      <c r="C23" s="9" t="s">
        <v>255</v>
      </c>
      <c r="D23" s="5" t="s">
        <v>148</v>
      </c>
      <c r="E23" s="5" t="s">
        <v>158</v>
      </c>
      <c r="F23" s="11" t="str">
        <f aca="false">IF(COUNTIF(V23:AC23,"Y")=0,"",UPPER(MID(IF(V23="Y","/neurotoxic","")&amp;IF(W23="Y","/hemotoxic","")&amp;IF(X23="Y","/procoagulant","")&amp;IF(Y23="Y","/anticoagulant","")&amp;IF(Z23="Y","/hemorrhagic","")&amp;IF(AA23="Y","/cytotoxic","")&amp;IF(AB23="Y","/myotoxic","")&amp;IF(AC23="Y","/cardiotoxic",""),2,1))&amp;MID(IF(V23="Y","/neurotoxic","")&amp;IF(W23="Y","/hemotoxic","")&amp;IF(X23="Y","/procoagulant","")&amp;IF(Y23="Y","/anticoagulant","")&amp;IF(Z23="Y","/hemorrhagic","")&amp;IF(AA23="Y","/cytotoxic","")&amp;IF(AB23="Y","/myotoxic","")&amp;IF(AC23="Y","/cardiotoxic",""),3,200))</f>
        <v>Hemotoxic/cytotoxic/cardiotoxic</v>
      </c>
      <c r="G23" s="19" t="n">
        <f aca="false">IFERROR(INDEX('LD50 Sources'!$C$2:$C$1000,MATCH($A23,'LD50 Sources'!$L$2:$L$1000,0)),"")</f>
        <v>0.6</v>
      </c>
      <c r="H23" s="11" t="str">
        <f aca="false">IFERROR(INDEX('LD50 Sources'!$D$2:$D$1000,MATCH($A23,'LD50 Sources'!$L$2:$L$1000,0))&amp;"","")</f>
        <v>SC</v>
      </c>
      <c r="I23" s="11" t="str">
        <f aca="false">IFERROR(INDEX('LD50 Sources'!$H$2:$H$1000,MATCH($A23,'LD50 Sources'!$L$2:$L$1000,0))&amp;"","")</f>
        <v>C</v>
      </c>
      <c r="J23" s="20" t="str">
        <f aca="false">IF(COUNTIFS('LD50 Sources'!$A$2:$A$1000,$A23,'LD50 Sources'!$K$2:$K$1000,1)&lt;2,"",ROUND(_xlfn.MAXIFS('LD50 Sources'!$C$2:$C$1000,'LD50 Sources'!$A$2:$A$1000,$A23,'LD50 Sources'!$K$2:$K$1000,1)/_xlfn.MINIFS('LD50 Sources'!$C$2:$C$1000,'LD50 Sources'!$A$2:$A$1000,$A23,'LD50 Sources'!$K$2:$K$1000,1),1))</f>
        <v/>
      </c>
      <c r="K23" s="21" t="n">
        <f aca="false">IFERROR(INDEX('Yield Sources'!$C$2:$C$1000,MATCH($A23,'Yield Sources'!$N$2:$N$1000,0)),"")</f>
        <v>200</v>
      </c>
      <c r="L23" s="21" t="n">
        <f aca="false">IFERROR(INDEX('Yield Sources'!$D$2:$D$1000,MATCH($A23,'Yield Sources'!$N$2:$N$1000,0)),"")</f>
        <v>200</v>
      </c>
      <c r="M23" s="11" t="str">
        <f aca="false">IFERROR(INDEX('Yield Sources'!$J$2:$J$1000,MATCH($A23,'Yield Sources'!$N$2:$N$1000,0))&amp;"","")</f>
        <v>C</v>
      </c>
      <c r="N23" s="20" t="str">
        <f aca="false">IF(COUNTIFS('Yield Sources'!$A$2:$A$1000,$A23,'Yield Sources'!$M$2:$M$1000,1)&lt;2,"",ROUND(_xlfn.MAXIFS('Yield Sources'!$D$2:$D$1000,'Yield Sources'!$A$2:$A$1000,$A23,'Yield Sources'!$M$2:$M$1000,1)/_xlfn.MINIFS('Yield Sources'!$D$2:$D$1000,'Yield Sources'!$A$2:$A$1000,$A23,'Yield Sources'!$M$2:$M$1000,1),1))</f>
        <v/>
      </c>
      <c r="O23" s="8" t="n">
        <v>3</v>
      </c>
      <c r="P23" s="8" t="n">
        <v>2</v>
      </c>
      <c r="Q23" s="5" t="s">
        <v>159</v>
      </c>
      <c r="R23" s="5" t="s">
        <v>160</v>
      </c>
      <c r="S23" s="11" t="str">
        <f aca="false">IFERROR(INDEX('Clinical Sources'!$M$2:$M$1000,MATCH($A23&amp;"|Annual deaths",'Clinical Sources'!$N$2:$N$1000,0)),"")</f>
        <v/>
      </c>
      <c r="T23" s="11" t="str">
        <f aca="false">IFERROR(INDEX('Clinical Sources'!$M$2:$M$1000,MATCH($A23&amp;"|Case-fatality rate",'Clinical Sources'!$N$2:$N$1000,0)),"")</f>
        <v/>
      </c>
      <c r="U23" s="9" t="s">
        <v>256</v>
      </c>
      <c r="V23" s="22"/>
      <c r="W23" s="22" t="s">
        <v>153</v>
      </c>
      <c r="X23" s="22"/>
      <c r="Y23" s="22"/>
      <c r="Z23" s="22"/>
      <c r="AA23" s="22" t="s">
        <v>153</v>
      </c>
      <c r="AB23" s="22"/>
      <c r="AC23" s="22" t="s">
        <v>153</v>
      </c>
      <c r="AD23" s="13" t="s">
        <v>154</v>
      </c>
      <c r="AE23" s="9" t="s">
        <v>257</v>
      </c>
    </row>
    <row r="24" customFormat="false" ht="26.25" hidden="false" customHeight="true" outlineLevel="0" collapsed="false">
      <c r="A24" s="4" t="s">
        <v>51</v>
      </c>
      <c r="B24" s="5" t="s">
        <v>258</v>
      </c>
      <c r="C24" s="9" t="s">
        <v>259</v>
      </c>
      <c r="D24" s="5" t="s">
        <v>148</v>
      </c>
      <c r="E24" s="5" t="s">
        <v>260</v>
      </c>
      <c r="F24" s="11" t="str">
        <f aca="false">IF(COUNTIF(V24:AC24,"Y")=0,"",UPPER(MID(IF(V24="Y","/neurotoxic","")&amp;IF(W24="Y","/hemotoxic","")&amp;IF(X24="Y","/procoagulant","")&amp;IF(Y24="Y","/anticoagulant","")&amp;IF(Z24="Y","/hemorrhagic","")&amp;IF(AA24="Y","/cytotoxic","")&amp;IF(AB24="Y","/myotoxic","")&amp;IF(AC24="Y","/cardiotoxic",""),2,1))&amp;MID(IF(V24="Y","/neurotoxic","")&amp;IF(W24="Y","/hemotoxic","")&amp;IF(X24="Y","/procoagulant","")&amp;IF(Y24="Y","/anticoagulant","")&amp;IF(Z24="Y","/hemorrhagic","")&amp;IF(AA24="Y","/cytotoxic","")&amp;IF(AB24="Y","/myotoxic","")&amp;IF(AC24="Y","/cardiotoxic",""),3,200))</f>
        <v>Hemotoxic</v>
      </c>
      <c r="G24" s="19" t="n">
        <f aca="false">IFERROR(INDEX('LD50 Sources'!$C$2:$C$1000,MATCH($A24,'LD50 Sources'!$L$2:$L$1000,0)),"")</f>
        <v>1.1</v>
      </c>
      <c r="H24" s="11" t="str">
        <f aca="false">IFERROR(INDEX('LD50 Sources'!$D$2:$D$1000,MATCH($A24,'LD50 Sources'!$L$2:$L$1000,0))&amp;"","")</f>
        <v>SC</v>
      </c>
      <c r="I24" s="11" t="str">
        <f aca="false">IFERROR(INDEX('LD50 Sources'!$H$2:$H$1000,MATCH($A24,'LD50 Sources'!$L$2:$L$1000,0))&amp;"","")</f>
        <v>C</v>
      </c>
      <c r="J24" s="20" t="str">
        <f aca="false">IF(COUNTIFS('LD50 Sources'!$A$2:$A$1000,$A24,'LD50 Sources'!$K$2:$K$1000,1)&lt;2,"",ROUND(_xlfn.MAXIFS('LD50 Sources'!$C$2:$C$1000,'LD50 Sources'!$A$2:$A$1000,$A24,'LD50 Sources'!$K$2:$K$1000,1)/_xlfn.MINIFS('LD50 Sources'!$C$2:$C$1000,'LD50 Sources'!$A$2:$A$1000,$A24,'LD50 Sources'!$K$2:$K$1000,1),1))</f>
        <v/>
      </c>
      <c r="K24" s="21" t="n">
        <f aca="false">IFERROR(INDEX('Yield Sources'!$C$2:$C$1000,MATCH($A24,'Yield Sources'!$N$2:$N$1000,0)),"")</f>
        <v>100</v>
      </c>
      <c r="L24" s="21" t="n">
        <f aca="false">IFERROR(INDEX('Yield Sources'!$D$2:$D$1000,MATCH($A24,'Yield Sources'!$N$2:$N$1000,0)),"")</f>
        <v>310</v>
      </c>
      <c r="M24" s="11" t="str">
        <f aca="false">IFERROR(INDEX('Yield Sources'!$J$2:$J$1000,MATCH($A24,'Yield Sources'!$N$2:$N$1000,0))&amp;"","")</f>
        <v>C</v>
      </c>
      <c r="N24" s="20" t="str">
        <f aca="false">IF(COUNTIFS('Yield Sources'!$A$2:$A$1000,$A24,'Yield Sources'!$M$2:$M$1000,1)&lt;2,"",ROUND(_xlfn.MAXIFS('Yield Sources'!$D$2:$D$1000,'Yield Sources'!$A$2:$A$1000,$A24,'Yield Sources'!$M$2:$M$1000,1)/_xlfn.MINIFS('Yield Sources'!$D$2:$D$1000,'Yield Sources'!$A$2:$A$1000,$A24,'Yield Sources'!$M$2:$M$1000,1),1))</f>
        <v/>
      </c>
      <c r="O24" s="8" t="n">
        <v>9</v>
      </c>
      <c r="P24" s="8" t="n">
        <v>5</v>
      </c>
      <c r="Q24" s="5" t="s">
        <v>150</v>
      </c>
      <c r="R24" s="5" t="s">
        <v>160</v>
      </c>
      <c r="S24" s="11" t="str">
        <f aca="false">IFERROR(INDEX('Clinical Sources'!$M$2:$M$1000,MATCH($A24&amp;"|Annual deaths",'Clinical Sources'!$N$2:$N$1000,0)),"")</f>
        <v/>
      </c>
      <c r="T24" s="11" t="str">
        <f aca="false">IFERROR(INDEX('Clinical Sources'!$M$2:$M$1000,MATCH($A24&amp;"|Case-fatality rate",'Clinical Sources'!$N$2:$N$1000,0)),"")</f>
        <v/>
      </c>
      <c r="U24" s="9" t="s">
        <v>261</v>
      </c>
      <c r="V24" s="22"/>
      <c r="W24" s="22" t="s">
        <v>153</v>
      </c>
      <c r="X24" s="22"/>
      <c r="Y24" s="22"/>
      <c r="Z24" s="22"/>
      <c r="AA24" s="22"/>
      <c r="AB24" s="22"/>
      <c r="AC24" s="22"/>
      <c r="AD24" s="13" t="s">
        <v>154</v>
      </c>
      <c r="AE24" s="9" t="s">
        <v>262</v>
      </c>
    </row>
    <row r="25" customFormat="false" ht="14.25" hidden="false" customHeight="true" outlineLevel="0" collapsed="false">
      <c r="A25" s="4" t="s">
        <v>56</v>
      </c>
      <c r="B25" s="5" t="s">
        <v>263</v>
      </c>
      <c r="C25" s="9"/>
      <c r="D25" s="5" t="s">
        <v>148</v>
      </c>
      <c r="E25" s="5" t="s">
        <v>212</v>
      </c>
      <c r="F25" s="11" t="str">
        <f aca="false">IF(COUNTIF(V25:AC25,"Y")=0,"",UPPER(MID(IF(V25="Y","/neurotoxic","")&amp;IF(W25="Y","/hemotoxic","")&amp;IF(X25="Y","/procoagulant","")&amp;IF(Y25="Y","/anticoagulant","")&amp;IF(Z25="Y","/hemorrhagic","")&amp;IF(AA25="Y","/cytotoxic","")&amp;IF(AB25="Y","/myotoxic","")&amp;IF(AC25="Y","/cardiotoxic",""),2,1))&amp;MID(IF(V25="Y","/neurotoxic","")&amp;IF(W25="Y","/hemotoxic","")&amp;IF(X25="Y","/procoagulant","")&amp;IF(Y25="Y","/anticoagulant","")&amp;IF(Z25="Y","/hemorrhagic","")&amp;IF(AA25="Y","/cytotoxic","")&amp;IF(AB25="Y","/myotoxic","")&amp;IF(AC25="Y","/cardiotoxic",""),3,200))</f>
        <v>Hemotoxic</v>
      </c>
      <c r="G25" s="19" t="n">
        <f aca="false">IFERROR(INDEX('LD50 Sources'!$C$2:$C$1000,MATCH($A25,'LD50 Sources'!$L$2:$L$1000,0)),"")</f>
        <v>2.2</v>
      </c>
      <c r="H25" s="11" t="str">
        <f aca="false">IFERROR(INDEX('LD50 Sources'!$D$2:$D$1000,MATCH($A25,'LD50 Sources'!$L$2:$L$1000,0))&amp;"","")</f>
        <v>SC</v>
      </c>
      <c r="I25" s="11" t="str">
        <f aca="false">IFERROR(INDEX('LD50 Sources'!$H$2:$H$1000,MATCH($A25,'LD50 Sources'!$L$2:$L$1000,0))&amp;"","")</f>
        <v>C</v>
      </c>
      <c r="J25" s="20" t="str">
        <f aca="false">IF(COUNTIFS('LD50 Sources'!$A$2:$A$1000,$A25,'LD50 Sources'!$K$2:$K$1000,1)&lt;2,"",ROUND(_xlfn.MAXIFS('LD50 Sources'!$C$2:$C$1000,'LD50 Sources'!$A$2:$A$1000,$A25,'LD50 Sources'!$K$2:$K$1000,1)/_xlfn.MINIFS('LD50 Sources'!$C$2:$C$1000,'LD50 Sources'!$A$2:$A$1000,$A25,'LD50 Sources'!$K$2:$K$1000,1),1))</f>
        <v/>
      </c>
      <c r="K25" s="21" t="n">
        <f aca="false">IFERROR(INDEX('Yield Sources'!$C$2:$C$1000,MATCH($A25,'Yield Sources'!$N$2:$N$1000,0)),"")</f>
        <v>175</v>
      </c>
      <c r="L25" s="21" t="n">
        <f aca="false">IFERROR(INDEX('Yield Sources'!$D$2:$D$1000,MATCH($A25,'Yield Sources'!$N$2:$N$1000,0)),"")</f>
        <v>600</v>
      </c>
      <c r="M25" s="11" t="str">
        <f aca="false">IFERROR(INDEX('Yield Sources'!$J$2:$J$1000,MATCH($A25,'Yield Sources'!$N$2:$N$1000,0))&amp;"","")</f>
        <v>C</v>
      </c>
      <c r="N25" s="20" t="str">
        <f aca="false">IF(COUNTIFS('Yield Sources'!$A$2:$A$1000,$A25,'Yield Sources'!$M$2:$M$1000,1)&lt;2,"",ROUND(_xlfn.MAXIFS('Yield Sources'!$D$2:$D$1000,'Yield Sources'!$A$2:$A$1000,$A25,'Yield Sources'!$M$2:$M$1000,1)/_xlfn.MINIFS('Yield Sources'!$D$2:$D$1000,'Yield Sources'!$A$2:$A$1000,$A25,'Yield Sources'!$M$2:$M$1000,1),1))</f>
        <v/>
      </c>
      <c r="O25" s="8" t="n">
        <v>6</v>
      </c>
      <c r="P25" s="8" t="n">
        <v>3</v>
      </c>
      <c r="Q25" s="5" t="s">
        <v>159</v>
      </c>
      <c r="R25" s="5" t="s">
        <v>151</v>
      </c>
      <c r="S25" s="11" t="str">
        <f aca="false">IFERROR(INDEX('Clinical Sources'!$M$2:$M$1000,MATCH($A25&amp;"|Annual deaths",'Clinical Sources'!$N$2:$N$1000,0)),"")</f>
        <v/>
      </c>
      <c r="T25" s="11" t="str">
        <f aca="false">IFERROR(INDEX('Clinical Sources'!$M$2:$M$1000,MATCH($A25&amp;"|Case-fatality rate",'Clinical Sources'!$N$2:$N$1000,0)),"")</f>
        <v/>
      </c>
      <c r="U25" s="9" t="s">
        <v>264</v>
      </c>
      <c r="V25" s="22"/>
      <c r="W25" s="22" t="s">
        <v>153</v>
      </c>
      <c r="X25" s="22"/>
      <c r="Y25" s="22"/>
      <c r="Z25" s="22"/>
      <c r="AA25" s="22"/>
      <c r="AB25" s="22"/>
      <c r="AC25" s="22"/>
      <c r="AD25" s="13" t="s">
        <v>154</v>
      </c>
      <c r="AE25" s="9" t="s">
        <v>265</v>
      </c>
    </row>
    <row r="26" customFormat="false" ht="26.25" hidden="false" customHeight="true" outlineLevel="0" collapsed="false">
      <c r="A26" s="4" t="s">
        <v>53</v>
      </c>
      <c r="B26" s="5" t="s">
        <v>266</v>
      </c>
      <c r="C26" s="9" t="s">
        <v>267</v>
      </c>
      <c r="D26" s="5" t="s">
        <v>148</v>
      </c>
      <c r="E26" s="5" t="s">
        <v>268</v>
      </c>
      <c r="F26" s="11" t="str">
        <f aca="false">IF(COUNTIF(V26:AC26,"Y")=0,"",UPPER(MID(IF(V26="Y","/neurotoxic","")&amp;IF(W26="Y","/hemotoxic","")&amp;IF(X26="Y","/procoagulant","")&amp;IF(Y26="Y","/anticoagulant","")&amp;IF(Z26="Y","/hemorrhagic","")&amp;IF(AA26="Y","/cytotoxic","")&amp;IF(AB26="Y","/myotoxic","")&amp;IF(AC26="Y","/cardiotoxic",""),2,1))&amp;MID(IF(V26="Y","/neurotoxic","")&amp;IF(W26="Y","/hemotoxic","")&amp;IF(X26="Y","/procoagulant","")&amp;IF(Y26="Y","/anticoagulant","")&amp;IF(Z26="Y","/hemorrhagic","")&amp;IF(AA26="Y","/cytotoxic","")&amp;IF(AB26="Y","/myotoxic","")&amp;IF(AC26="Y","/cardiotoxic",""),3,200))</f>
        <v>Hemotoxic</v>
      </c>
      <c r="G26" s="19" t="n">
        <f aca="false">IFERROR(INDEX('LD50 Sources'!$C$2:$C$1000,MATCH($A26,'LD50 Sources'!$L$2:$L$1000,0)),"")</f>
        <v>1.01</v>
      </c>
      <c r="H26" s="11" t="str">
        <f aca="false">IFERROR(INDEX('LD50 Sources'!$D$2:$D$1000,MATCH($A26,'LD50 Sources'!$L$2:$L$1000,0))&amp;"","")</f>
        <v>SC</v>
      </c>
      <c r="I26" s="11" t="str">
        <f aca="false">IFERROR(INDEX('LD50 Sources'!$H$2:$H$1000,MATCH($A26,'LD50 Sources'!$L$2:$L$1000,0))&amp;"","")</f>
        <v>C</v>
      </c>
      <c r="J26" s="20" t="str">
        <f aca="false">IF(COUNTIFS('LD50 Sources'!$A$2:$A$1000,$A26,'LD50 Sources'!$K$2:$K$1000,1)&lt;2,"",ROUND(_xlfn.MAXIFS('LD50 Sources'!$C$2:$C$1000,'LD50 Sources'!$A$2:$A$1000,$A26,'LD50 Sources'!$K$2:$K$1000,1)/_xlfn.MINIFS('LD50 Sources'!$C$2:$C$1000,'LD50 Sources'!$A$2:$A$1000,$A26,'LD50 Sources'!$K$2:$K$1000,1),1))</f>
        <v/>
      </c>
      <c r="K26" s="21" t="n">
        <f aca="false">IFERROR(INDEX('Yield Sources'!$C$2:$C$1000,MATCH($A26,'Yield Sources'!$N$2:$N$1000,0)),"")</f>
        <v>35</v>
      </c>
      <c r="L26" s="21" t="n">
        <f aca="false">IFERROR(INDEX('Yield Sources'!$D$2:$D$1000,MATCH($A26,'Yield Sources'!$N$2:$N$1000,0)),"")</f>
        <v>250</v>
      </c>
      <c r="M26" s="11" t="str">
        <f aca="false">IFERROR(INDEX('Yield Sources'!$J$2:$J$1000,MATCH($A26,'Yield Sources'!$N$2:$N$1000,0))&amp;"","")</f>
        <v>C</v>
      </c>
      <c r="N26" s="20" t="str">
        <f aca="false">IF(COUNTIFS('Yield Sources'!$A$2:$A$1000,$A26,'Yield Sources'!$M$2:$M$1000,1)&lt;2,"",ROUND(_xlfn.MAXIFS('Yield Sources'!$D$2:$D$1000,'Yield Sources'!$A$2:$A$1000,$A26,'Yield Sources'!$M$2:$M$1000,1)/_xlfn.MINIFS('Yield Sources'!$D$2:$D$1000,'Yield Sources'!$A$2:$A$1000,$A26,'Yield Sources'!$M$2:$M$1000,1),1))</f>
        <v/>
      </c>
      <c r="O26" s="8" t="n">
        <v>5</v>
      </c>
      <c r="P26" s="8" t="n">
        <v>3</v>
      </c>
      <c r="Q26" s="5" t="s">
        <v>150</v>
      </c>
      <c r="R26" s="5" t="s">
        <v>151</v>
      </c>
      <c r="S26" s="11" t="str">
        <f aca="false">IFERROR(INDEX('Clinical Sources'!$M$2:$M$1000,MATCH($A26&amp;"|Annual deaths",'Clinical Sources'!$N$2:$N$1000,0)),"")</f>
        <v/>
      </c>
      <c r="T26" s="11" t="str">
        <f aca="false">IFERROR(INDEX('Clinical Sources'!$M$2:$M$1000,MATCH($A26&amp;"|Case-fatality rate",'Clinical Sources'!$N$2:$N$1000,0)),"")</f>
        <v/>
      </c>
      <c r="U26" s="9" t="s">
        <v>269</v>
      </c>
      <c r="V26" s="22"/>
      <c r="W26" s="22" t="s">
        <v>153</v>
      </c>
      <c r="X26" s="22"/>
      <c r="Y26" s="22"/>
      <c r="Z26" s="22"/>
      <c r="AA26" s="22"/>
      <c r="AB26" s="22"/>
      <c r="AC26" s="22"/>
      <c r="AD26" s="13" t="s">
        <v>154</v>
      </c>
      <c r="AE26" s="9" t="s">
        <v>270</v>
      </c>
    </row>
    <row r="27" customFormat="false" ht="14.25" hidden="false" customHeight="true" outlineLevel="0" collapsed="false">
      <c r="A27" s="4" t="s">
        <v>52</v>
      </c>
      <c r="B27" s="5" t="s">
        <v>271</v>
      </c>
      <c r="C27" s="9" t="s">
        <v>272</v>
      </c>
      <c r="D27" s="5" t="s">
        <v>148</v>
      </c>
      <c r="E27" s="5" t="s">
        <v>273</v>
      </c>
      <c r="F27" s="11" t="str">
        <f aca="false">IF(COUNTIF(V27:AC27,"Y")=0,"",UPPER(MID(IF(V27="Y","/neurotoxic","")&amp;IF(W27="Y","/hemotoxic","")&amp;IF(X27="Y","/procoagulant","")&amp;IF(Y27="Y","/anticoagulant","")&amp;IF(Z27="Y","/hemorrhagic","")&amp;IF(AA27="Y","/cytotoxic","")&amp;IF(AB27="Y","/myotoxic","")&amp;IF(AC27="Y","/cardiotoxic",""),2,1))&amp;MID(IF(V27="Y","/neurotoxic","")&amp;IF(W27="Y","/hemotoxic","")&amp;IF(X27="Y","/procoagulant","")&amp;IF(Y27="Y","/anticoagulant","")&amp;IF(Z27="Y","/hemorrhagic","")&amp;IF(AA27="Y","/cytotoxic","")&amp;IF(AB27="Y","/myotoxic","")&amp;IF(AC27="Y","/cardiotoxic",""),3,200))</f>
        <v>Hemotoxic</v>
      </c>
      <c r="G27" s="19" t="n">
        <f aca="false">IFERROR(INDEX('LD50 Sources'!$C$2:$C$1000,MATCH($A27,'LD50 Sources'!$L$2:$L$1000,0)),"")</f>
        <v>0.64</v>
      </c>
      <c r="H27" s="11" t="str">
        <f aca="false">IFERROR(INDEX('LD50 Sources'!$D$2:$D$1000,MATCH($A27,'LD50 Sources'!$L$2:$L$1000,0))&amp;"","")</f>
        <v>SC</v>
      </c>
      <c r="I27" s="11" t="str">
        <f aca="false">IFERROR(INDEX('LD50 Sources'!$H$2:$H$1000,MATCH($A27,'LD50 Sources'!$L$2:$L$1000,0))&amp;"","")</f>
        <v>C</v>
      </c>
      <c r="J27" s="20" t="str">
        <f aca="false">IF(COUNTIFS('LD50 Sources'!$A$2:$A$1000,$A27,'LD50 Sources'!$K$2:$K$1000,1)&lt;2,"",ROUND(_xlfn.MAXIFS('LD50 Sources'!$C$2:$C$1000,'LD50 Sources'!$A$2:$A$1000,$A27,'LD50 Sources'!$K$2:$K$1000,1)/_xlfn.MINIFS('LD50 Sources'!$C$2:$C$1000,'LD50 Sources'!$A$2:$A$1000,$A27,'LD50 Sources'!$K$2:$K$1000,1),1))</f>
        <v/>
      </c>
      <c r="K27" s="21" t="n">
        <f aca="false">IFERROR(INDEX('Yield Sources'!$C$2:$C$1000,MATCH($A27,'Yield Sources'!$N$2:$N$1000,0)),"")</f>
        <v>12</v>
      </c>
      <c r="L27" s="21" t="n">
        <f aca="false">IFERROR(INDEX('Yield Sources'!$D$2:$D$1000,MATCH($A27,'Yield Sources'!$N$2:$N$1000,0)),"")</f>
        <v>150</v>
      </c>
      <c r="M27" s="11" t="str">
        <f aca="false">IFERROR(INDEX('Yield Sources'!$J$2:$J$1000,MATCH($A27,'Yield Sources'!$N$2:$N$1000,0))&amp;"","")</f>
        <v>C</v>
      </c>
      <c r="N27" s="20" t="str">
        <f aca="false">IF(COUNTIFS('Yield Sources'!$A$2:$A$1000,$A27,'Yield Sources'!$M$2:$M$1000,1)&lt;2,"",ROUND(_xlfn.MAXIFS('Yield Sources'!$D$2:$D$1000,'Yield Sources'!$A$2:$A$1000,$A27,'Yield Sources'!$M$2:$M$1000,1)/_xlfn.MINIFS('Yield Sources'!$D$2:$D$1000,'Yield Sources'!$A$2:$A$1000,$A27,'Yield Sources'!$M$2:$M$1000,1),1))</f>
        <v/>
      </c>
      <c r="O27" s="8" t="n">
        <v>6</v>
      </c>
      <c r="P27" s="8" t="n">
        <v>4</v>
      </c>
      <c r="Q27" s="5" t="s">
        <v>150</v>
      </c>
      <c r="R27" s="5" t="s">
        <v>160</v>
      </c>
      <c r="S27" s="11" t="str">
        <f aca="false">IFERROR(INDEX('Clinical Sources'!$M$2:$M$1000,MATCH($A27&amp;"|Annual deaths",'Clinical Sources'!$N$2:$N$1000,0)),"")</f>
        <v/>
      </c>
      <c r="T27" s="11" t="str">
        <f aca="false">IFERROR(INDEX('Clinical Sources'!$M$2:$M$1000,MATCH($A27&amp;"|Case-fatality rate",'Clinical Sources'!$N$2:$N$1000,0)),"")</f>
        <v/>
      </c>
      <c r="U27" s="9" t="s">
        <v>274</v>
      </c>
      <c r="V27" s="22"/>
      <c r="W27" s="22" t="s">
        <v>153</v>
      </c>
      <c r="X27" s="22"/>
      <c r="Y27" s="22"/>
      <c r="Z27" s="22"/>
      <c r="AA27" s="22"/>
      <c r="AB27" s="22"/>
      <c r="AC27" s="22"/>
      <c r="AD27" s="13" t="s">
        <v>154</v>
      </c>
      <c r="AE27" s="9" t="s">
        <v>275</v>
      </c>
    </row>
    <row r="28" customFormat="false" ht="52.5" hidden="false" customHeight="true" outlineLevel="0" collapsed="false">
      <c r="A28" s="4" t="s">
        <v>47</v>
      </c>
      <c r="B28" s="5" t="s">
        <v>276</v>
      </c>
      <c r="C28" s="9" t="s">
        <v>277</v>
      </c>
      <c r="D28" s="5" t="s">
        <v>165</v>
      </c>
      <c r="E28" s="5" t="s">
        <v>238</v>
      </c>
      <c r="F28" s="11" t="str">
        <f aca="false">IF(COUNTIF(V28:AC28,"Y")=0,"",UPPER(MID(IF(V28="Y","/neurotoxic","")&amp;IF(W28="Y","/hemotoxic","")&amp;IF(X28="Y","/procoagulant","")&amp;IF(Y28="Y","/anticoagulant","")&amp;IF(Z28="Y","/hemorrhagic","")&amp;IF(AA28="Y","/cytotoxic","")&amp;IF(AB28="Y","/myotoxic","")&amp;IF(AC28="Y","/cardiotoxic",""),2,1))&amp;MID(IF(V28="Y","/neurotoxic","")&amp;IF(W28="Y","/hemotoxic","")&amp;IF(X28="Y","/procoagulant","")&amp;IF(Y28="Y","/anticoagulant","")&amp;IF(Z28="Y","/hemorrhagic","")&amp;IF(AA28="Y","/cytotoxic","")&amp;IF(AB28="Y","/myotoxic","")&amp;IF(AC28="Y","/cardiotoxic",""),3,200))</f>
        <v>Neurotoxic</v>
      </c>
      <c r="G28" s="19" t="n">
        <f aca="false">IFERROR(INDEX('LD50 Sources'!$C$2:$C$1000,MATCH($A28,'LD50 Sources'!$L$2:$L$1000,0)),"")</f>
        <v>0.09</v>
      </c>
      <c r="H28" s="11" t="str">
        <f aca="false">IFERROR(INDEX('LD50 Sources'!$D$2:$D$1000,MATCH($A28,'LD50 Sources'!$L$2:$L$1000,0))&amp;"","")</f>
        <v>SC</v>
      </c>
      <c r="I28" s="11" t="str">
        <f aca="false">IFERROR(INDEX('LD50 Sources'!$H$2:$H$1000,MATCH($A28,'LD50 Sources'!$L$2:$L$1000,0))&amp;"","")</f>
        <v>C</v>
      </c>
      <c r="J28" s="20" t="str">
        <f aca="false">IF(COUNTIFS('LD50 Sources'!$A$2:$A$1000,$A28,'LD50 Sources'!$K$2:$K$1000,1)&lt;2,"",ROUND(_xlfn.MAXIFS('LD50 Sources'!$C$2:$C$1000,'LD50 Sources'!$A$2:$A$1000,$A28,'LD50 Sources'!$K$2:$K$1000,1)/_xlfn.MINIFS('LD50 Sources'!$C$2:$C$1000,'LD50 Sources'!$A$2:$A$1000,$A28,'LD50 Sources'!$K$2:$K$1000,1),1))</f>
        <v/>
      </c>
      <c r="K28" s="21" t="n">
        <f aca="false">IFERROR(INDEX('Yield Sources'!$C$2:$C$1000,MATCH($A28,'Yield Sources'!$N$2:$N$1000,0)),"")</f>
        <v>8</v>
      </c>
      <c r="L28" s="21" t="n">
        <f aca="false">IFERROR(INDEX('Yield Sources'!$D$2:$D$1000,MATCH($A28,'Yield Sources'!$N$2:$N$1000,0)),"")</f>
        <v>20</v>
      </c>
      <c r="M28" s="11" t="str">
        <f aca="false">IFERROR(INDEX('Yield Sources'!$J$2:$J$1000,MATCH($A28,'Yield Sources'!$N$2:$N$1000,0))&amp;"","")</f>
        <v>C</v>
      </c>
      <c r="N28" s="20" t="str">
        <f aca="false">IF(COUNTIFS('Yield Sources'!$A$2:$A$1000,$A28,'Yield Sources'!$M$2:$M$1000,1)&lt;2,"",ROUND(_xlfn.MAXIFS('Yield Sources'!$D$2:$D$1000,'Yield Sources'!$A$2:$A$1000,$A28,'Yield Sources'!$M$2:$M$1000,1)/_xlfn.MINIFS('Yield Sources'!$D$2:$D$1000,'Yield Sources'!$A$2:$A$1000,$A28,'Yield Sources'!$M$2:$M$1000,1),1))</f>
        <v/>
      </c>
      <c r="O28" s="8" t="n">
        <v>10</v>
      </c>
      <c r="P28" s="8" t="n">
        <v>3</v>
      </c>
      <c r="Q28" s="5" t="s">
        <v>167</v>
      </c>
      <c r="R28" s="5" t="s">
        <v>151</v>
      </c>
      <c r="S28" s="11" t="str">
        <f aca="false">IFERROR(INDEX('Clinical Sources'!$M$2:$M$1000,MATCH($A28&amp;"|Annual deaths",'Clinical Sources'!$N$2:$N$1000,0)),"")</f>
        <v/>
      </c>
      <c r="T28" s="11" t="str">
        <f aca="false">IFERROR(INDEX('Clinical Sources'!$M$2:$M$1000,MATCH($A28&amp;"|Case-fatality rate",'Clinical Sources'!$N$2:$N$1000,0)),"")</f>
        <v/>
      </c>
      <c r="U28" s="9" t="s">
        <v>278</v>
      </c>
      <c r="V28" s="22" t="s">
        <v>153</v>
      </c>
      <c r="W28" s="22"/>
      <c r="X28" s="22"/>
      <c r="Y28" s="22"/>
      <c r="Z28" s="22"/>
      <c r="AA28" s="22"/>
      <c r="AB28" s="22"/>
      <c r="AC28" s="22"/>
      <c r="AD28" s="13" t="s">
        <v>154</v>
      </c>
      <c r="AE28" s="9" t="s">
        <v>279</v>
      </c>
    </row>
    <row r="29" customFormat="false" ht="26.25" hidden="false" customHeight="true" outlineLevel="0" collapsed="false">
      <c r="A29" s="4" t="s">
        <v>48</v>
      </c>
      <c r="B29" s="5" t="s">
        <v>280</v>
      </c>
      <c r="C29" s="9"/>
      <c r="D29" s="5" t="s">
        <v>148</v>
      </c>
      <c r="E29" s="5" t="s">
        <v>212</v>
      </c>
      <c r="F29" s="11" t="str">
        <f aca="false">IF(COUNTIF(V29:AC29,"Y")=0,"",UPPER(MID(IF(V29="Y","/neurotoxic","")&amp;IF(W29="Y","/hemotoxic","")&amp;IF(X29="Y","/procoagulant","")&amp;IF(Y29="Y","/anticoagulant","")&amp;IF(Z29="Y","/hemorrhagic","")&amp;IF(AA29="Y","/cytotoxic","")&amp;IF(AB29="Y","/myotoxic","")&amp;IF(AC29="Y","/cardiotoxic",""),2,1))&amp;MID(IF(V29="Y","/neurotoxic","")&amp;IF(W29="Y","/hemotoxic","")&amp;IF(X29="Y","/procoagulant","")&amp;IF(Y29="Y","/anticoagulant","")&amp;IF(Z29="Y","/hemorrhagic","")&amp;IF(AA29="Y","/cytotoxic","")&amp;IF(AB29="Y","/myotoxic","")&amp;IF(AC29="Y","/cardiotoxic",""),3,200))</f>
        <v>Neurotoxic</v>
      </c>
      <c r="G29" s="19" t="n">
        <f aca="false">IFERROR(INDEX('LD50 Sources'!$C$2:$C$1000,MATCH($A29,'LD50 Sources'!$L$2:$L$1000,0)),"")</f>
        <v>0.06</v>
      </c>
      <c r="H29" s="11" t="str">
        <f aca="false">IFERROR(INDEX('LD50 Sources'!$D$2:$D$1000,MATCH($A29,'LD50 Sources'!$L$2:$L$1000,0))&amp;"","")</f>
        <v>SC</v>
      </c>
      <c r="I29" s="11" t="str">
        <f aca="false">IFERROR(INDEX('LD50 Sources'!$H$2:$H$1000,MATCH($A29,'LD50 Sources'!$L$2:$L$1000,0))&amp;"","")</f>
        <v>C</v>
      </c>
      <c r="J29" s="20" t="str">
        <f aca="false">IF(COUNTIFS('LD50 Sources'!$A$2:$A$1000,$A29,'LD50 Sources'!$K$2:$K$1000,1)&lt;2,"",ROUND(_xlfn.MAXIFS('LD50 Sources'!$C$2:$C$1000,'LD50 Sources'!$A$2:$A$1000,$A29,'LD50 Sources'!$K$2:$K$1000,1)/_xlfn.MINIFS('LD50 Sources'!$C$2:$C$1000,'LD50 Sources'!$A$2:$A$1000,$A29,'LD50 Sources'!$K$2:$K$1000,1),1))</f>
        <v/>
      </c>
      <c r="K29" s="21" t="n">
        <f aca="false">IFERROR(INDEX('Yield Sources'!$C$2:$C$1000,MATCH($A29,'Yield Sources'!$N$2:$N$1000,0)),"")</f>
        <v>6</v>
      </c>
      <c r="L29" s="21" t="n">
        <f aca="false">IFERROR(INDEX('Yield Sources'!$D$2:$D$1000,MATCH($A29,'Yield Sources'!$N$2:$N$1000,0)),"")</f>
        <v>11</v>
      </c>
      <c r="M29" s="11" t="str">
        <f aca="false">IFERROR(INDEX('Yield Sources'!$J$2:$J$1000,MATCH($A29,'Yield Sources'!$N$2:$N$1000,0))&amp;"","")</f>
        <v>C</v>
      </c>
      <c r="N29" s="20" t="str">
        <f aca="false">IF(COUNTIFS('Yield Sources'!$A$2:$A$1000,$A29,'Yield Sources'!$M$2:$M$1000,1)&lt;2,"",ROUND(_xlfn.MAXIFS('Yield Sources'!$D$2:$D$1000,'Yield Sources'!$A$2:$A$1000,$A29,'Yield Sources'!$M$2:$M$1000,1)/_xlfn.MINIFS('Yield Sources'!$D$2:$D$1000,'Yield Sources'!$A$2:$A$1000,$A29,'Yield Sources'!$M$2:$M$1000,1),1))</f>
        <v/>
      </c>
      <c r="O29" s="8" t="n">
        <v>2</v>
      </c>
      <c r="P29" s="8" t="n">
        <v>2</v>
      </c>
      <c r="Q29" s="5" t="s">
        <v>167</v>
      </c>
      <c r="R29" s="5" t="s">
        <v>151</v>
      </c>
      <c r="S29" s="11" t="str">
        <f aca="false">IFERROR(INDEX('Clinical Sources'!$M$2:$M$1000,MATCH($A29&amp;"|Annual deaths",'Clinical Sources'!$N$2:$N$1000,0)),"")</f>
        <v/>
      </c>
      <c r="T29" s="11" t="str">
        <f aca="false">IFERROR(INDEX('Clinical Sources'!$M$2:$M$1000,MATCH($A29&amp;"|Case-fatality rate",'Clinical Sources'!$N$2:$N$1000,0)),"")</f>
        <v/>
      </c>
      <c r="U29" s="9" t="s">
        <v>281</v>
      </c>
      <c r="V29" s="22" t="s">
        <v>153</v>
      </c>
      <c r="W29" s="22"/>
      <c r="X29" s="22"/>
      <c r="Y29" s="22"/>
      <c r="Z29" s="22"/>
      <c r="AA29" s="22"/>
      <c r="AB29" s="22"/>
      <c r="AC29" s="22"/>
      <c r="AD29" s="13" t="s">
        <v>154</v>
      </c>
      <c r="AE29" s="9" t="s">
        <v>282</v>
      </c>
    </row>
    <row r="30" customFormat="false" ht="26.25" hidden="false" customHeight="true" outlineLevel="0" collapsed="false">
      <c r="A30" s="4" t="s">
        <v>50</v>
      </c>
      <c r="B30" s="5" t="s">
        <v>283</v>
      </c>
      <c r="C30" s="9" t="s">
        <v>284</v>
      </c>
      <c r="D30" s="5" t="s">
        <v>148</v>
      </c>
      <c r="E30" s="5" t="s">
        <v>285</v>
      </c>
      <c r="F30" s="11" t="str">
        <f aca="false">IF(COUNTIF(V30:AC30,"Y")=0,"",UPPER(MID(IF(V30="Y","/neurotoxic","")&amp;IF(W30="Y","/hemotoxic","")&amp;IF(X30="Y","/procoagulant","")&amp;IF(Y30="Y","/anticoagulant","")&amp;IF(Z30="Y","/hemorrhagic","")&amp;IF(AA30="Y","/cytotoxic","")&amp;IF(AB30="Y","/myotoxic","")&amp;IF(AC30="Y","/cardiotoxic",""),2,1))&amp;MID(IF(V30="Y","/neurotoxic","")&amp;IF(W30="Y","/hemotoxic","")&amp;IF(X30="Y","/procoagulant","")&amp;IF(Y30="Y","/anticoagulant","")&amp;IF(Z30="Y","/hemorrhagic","")&amp;IF(AA30="Y","/cytotoxic","")&amp;IF(AB30="Y","/myotoxic","")&amp;IF(AC30="Y","/cardiotoxic",""),3,200))</f>
        <v>Hemotoxic</v>
      </c>
      <c r="G30" s="19" t="n">
        <f aca="false">IFERROR(INDEX('LD50 Sources'!$C$2:$C$1000,MATCH($A30,'LD50 Sources'!$L$2:$L$1000,0)),"")</f>
        <v>0.11</v>
      </c>
      <c r="H30" s="11" t="str">
        <f aca="false">IFERROR(INDEX('LD50 Sources'!$D$2:$D$1000,MATCH($A30,'LD50 Sources'!$L$2:$L$1000,0))&amp;"","")</f>
        <v>SC</v>
      </c>
      <c r="I30" s="11" t="str">
        <f aca="false">IFERROR(INDEX('LD50 Sources'!$H$2:$H$1000,MATCH($A30,'LD50 Sources'!$L$2:$L$1000,0))&amp;"","")</f>
        <v>C</v>
      </c>
      <c r="J30" s="20" t="str">
        <f aca="false">IF(COUNTIFS('LD50 Sources'!$A$2:$A$1000,$A30,'LD50 Sources'!$K$2:$K$1000,1)&lt;2,"",ROUND(_xlfn.MAXIFS('LD50 Sources'!$C$2:$C$1000,'LD50 Sources'!$A$2:$A$1000,$A30,'LD50 Sources'!$K$2:$K$1000,1)/_xlfn.MINIFS('LD50 Sources'!$C$2:$C$1000,'LD50 Sources'!$A$2:$A$1000,$A30,'LD50 Sources'!$K$2:$K$1000,1),1))</f>
        <v/>
      </c>
      <c r="K30" s="21" t="n">
        <f aca="false">IFERROR(INDEX('Yield Sources'!$C$2:$C$1000,MATCH($A30,'Yield Sources'!$N$2:$N$1000,0)),"")</f>
        <v>10</v>
      </c>
      <c r="L30" s="21" t="n">
        <f aca="false">IFERROR(INDEX('Yield Sources'!$D$2:$D$1000,MATCH($A30,'Yield Sources'!$N$2:$N$1000,0)),"")</f>
        <v>18</v>
      </c>
      <c r="M30" s="11" t="str">
        <f aca="false">IFERROR(INDEX('Yield Sources'!$J$2:$J$1000,MATCH($A30,'Yield Sources'!$N$2:$N$1000,0))&amp;"","")</f>
        <v>C</v>
      </c>
      <c r="N30" s="20" t="str">
        <f aca="false">IF(COUNTIFS('Yield Sources'!$A$2:$A$1000,$A30,'Yield Sources'!$M$2:$M$1000,1)&lt;2,"",ROUND(_xlfn.MAXIFS('Yield Sources'!$D$2:$D$1000,'Yield Sources'!$A$2:$A$1000,$A30,'Yield Sources'!$M$2:$M$1000,1)/_xlfn.MINIFS('Yield Sources'!$D$2:$D$1000,'Yield Sources'!$A$2:$A$1000,$A30,'Yield Sources'!$M$2:$M$1000,1),1))</f>
        <v/>
      </c>
      <c r="O30" s="8" t="n">
        <v>6</v>
      </c>
      <c r="P30" s="8" t="n">
        <v>2</v>
      </c>
      <c r="Q30" s="5" t="s">
        <v>159</v>
      </c>
      <c r="R30" s="5" t="s">
        <v>151</v>
      </c>
      <c r="S30" s="11" t="str">
        <f aca="false">IFERROR(INDEX('Clinical Sources'!$M$2:$M$1000,MATCH($A30&amp;"|Annual deaths",'Clinical Sources'!$N$2:$N$1000,0)),"")</f>
        <v/>
      </c>
      <c r="T30" s="11" t="str">
        <f aca="false">IFERROR(INDEX('Clinical Sources'!$M$2:$M$1000,MATCH($A30&amp;"|Case-fatality rate",'Clinical Sources'!$N$2:$N$1000,0)),"")</f>
        <v/>
      </c>
      <c r="U30" s="9" t="s">
        <v>286</v>
      </c>
      <c r="V30" s="22"/>
      <c r="W30" s="22" t="s">
        <v>153</v>
      </c>
      <c r="X30" s="22"/>
      <c r="Y30" s="22"/>
      <c r="Z30" s="22"/>
      <c r="AA30" s="22"/>
      <c r="AB30" s="22"/>
      <c r="AC30" s="22"/>
      <c r="AD30" s="13" t="s">
        <v>154</v>
      </c>
      <c r="AE30" s="9" t="s">
        <v>287</v>
      </c>
    </row>
    <row r="31" customFormat="false" ht="39" hidden="false" customHeight="true" outlineLevel="0" collapsed="false">
      <c r="A31" s="4" t="s">
        <v>64</v>
      </c>
      <c r="B31" s="5" t="s">
        <v>288</v>
      </c>
      <c r="C31" s="9" t="s">
        <v>289</v>
      </c>
      <c r="D31" s="5" t="s">
        <v>148</v>
      </c>
      <c r="E31" s="5" t="s">
        <v>290</v>
      </c>
      <c r="F31" s="11" t="str">
        <f aca="false">IF(COUNTIF(V31:AC31,"Y")=0,"",UPPER(MID(IF(V31="Y","/neurotoxic","")&amp;IF(W31="Y","/hemotoxic","")&amp;IF(X31="Y","/procoagulant","")&amp;IF(Y31="Y","/anticoagulant","")&amp;IF(Z31="Y","/hemorrhagic","")&amp;IF(AA31="Y","/cytotoxic","")&amp;IF(AB31="Y","/myotoxic","")&amp;IF(AC31="Y","/cardiotoxic",""),2,1))&amp;MID(IF(V31="Y","/neurotoxic","")&amp;IF(W31="Y","/hemotoxic","")&amp;IF(X31="Y","/procoagulant","")&amp;IF(Y31="Y","/anticoagulant","")&amp;IF(Z31="Y","/hemorrhagic","")&amp;IF(AA31="Y","/cytotoxic","")&amp;IF(AB31="Y","/myotoxic","")&amp;IF(AC31="Y","/cardiotoxic",""),3,200))</f>
        <v>Neurotoxic/hemotoxic</v>
      </c>
      <c r="G31" s="19" t="n">
        <f aca="false">IFERROR(INDEX('LD50 Sources'!$C$2:$C$1000,MATCH($A31,'LD50 Sources'!$L$2:$L$1000,0)),"")</f>
        <v>1.64</v>
      </c>
      <c r="H31" s="11" t="str">
        <f aca="false">IFERROR(INDEX('LD50 Sources'!$D$2:$D$1000,MATCH($A31,'LD50 Sources'!$L$2:$L$1000,0))&amp;"","")</f>
        <v>SC</v>
      </c>
      <c r="I31" s="11" t="str">
        <f aca="false">IFERROR(INDEX('LD50 Sources'!$H$2:$H$1000,MATCH($A31,'LD50 Sources'!$L$2:$L$1000,0))&amp;"","")</f>
        <v>C</v>
      </c>
      <c r="J31" s="20" t="str">
        <f aca="false">IF(COUNTIFS('LD50 Sources'!$A$2:$A$1000,$A31,'LD50 Sources'!$K$2:$K$1000,1)&lt;2,"",ROUND(_xlfn.MAXIFS('LD50 Sources'!$C$2:$C$1000,'LD50 Sources'!$A$2:$A$1000,$A31,'LD50 Sources'!$K$2:$K$1000,1)/_xlfn.MINIFS('LD50 Sources'!$C$2:$C$1000,'LD50 Sources'!$A$2:$A$1000,$A31,'LD50 Sources'!$K$2:$K$1000,1),1))</f>
        <v/>
      </c>
      <c r="K31" s="21" t="n">
        <f aca="false">IFERROR(INDEX('Yield Sources'!$C$2:$C$1000,MATCH($A31,'Yield Sources'!$N$2:$N$1000,0)),"")</f>
        <v>75</v>
      </c>
      <c r="L31" s="21" t="n">
        <f aca="false">IFERROR(INDEX('Yield Sources'!$D$2:$D$1000,MATCH($A31,'Yield Sources'!$N$2:$N$1000,0)),"")</f>
        <v>210</v>
      </c>
      <c r="M31" s="11" t="str">
        <f aca="false">IFERROR(INDEX('Yield Sources'!$J$2:$J$1000,MATCH($A31,'Yield Sources'!$N$2:$N$1000,0))&amp;"","")</f>
        <v>C</v>
      </c>
      <c r="N31" s="20" t="str">
        <f aca="false">IF(COUNTIFS('Yield Sources'!$A$2:$A$1000,$A31,'Yield Sources'!$M$2:$M$1000,1)&lt;2,"",ROUND(_xlfn.MAXIFS('Yield Sources'!$D$2:$D$1000,'Yield Sources'!$A$2:$A$1000,$A31,'Yield Sources'!$M$2:$M$1000,1)/_xlfn.MINIFS('Yield Sources'!$D$2:$D$1000,'Yield Sources'!$A$2:$A$1000,$A31,'Yield Sources'!$M$2:$M$1000,1),1))</f>
        <v/>
      </c>
      <c r="O31" s="8" t="n">
        <v>3</v>
      </c>
      <c r="P31" s="8" t="n">
        <v>2</v>
      </c>
      <c r="Q31" s="5" t="s">
        <v>159</v>
      </c>
      <c r="R31" s="5" t="s">
        <v>151</v>
      </c>
      <c r="S31" s="11" t="str">
        <f aca="false">IFERROR(INDEX('Clinical Sources'!$M$2:$M$1000,MATCH($A31&amp;"|Annual deaths",'Clinical Sources'!$N$2:$N$1000,0)),"")</f>
        <v/>
      </c>
      <c r="T31" s="11" t="str">
        <f aca="false">IFERROR(INDEX('Clinical Sources'!$M$2:$M$1000,MATCH($A31&amp;"|Case-fatality rate",'Clinical Sources'!$N$2:$N$1000,0)),"")</f>
        <v/>
      </c>
      <c r="U31" s="9" t="s">
        <v>291</v>
      </c>
      <c r="V31" s="22" t="s">
        <v>153</v>
      </c>
      <c r="W31" s="22" t="s">
        <v>153</v>
      </c>
      <c r="X31" s="22"/>
      <c r="Y31" s="22"/>
      <c r="Z31" s="22"/>
      <c r="AA31" s="22"/>
      <c r="AB31" s="22"/>
      <c r="AC31" s="22"/>
      <c r="AD31" s="13" t="s">
        <v>154</v>
      </c>
      <c r="AE31" s="9" t="s">
        <v>292</v>
      </c>
    </row>
    <row r="32" customFormat="false" ht="14.25" hidden="false" customHeight="true" outlineLevel="0" collapsed="false">
      <c r="A32" s="4" t="s">
        <v>60</v>
      </c>
      <c r="B32" s="5" t="s">
        <v>293</v>
      </c>
      <c r="C32" s="9" t="s">
        <v>294</v>
      </c>
      <c r="D32" s="5" t="s">
        <v>148</v>
      </c>
      <c r="E32" s="5" t="s">
        <v>295</v>
      </c>
      <c r="F32" s="11" t="str">
        <f aca="false">IF(COUNTIF(V32:AC32,"Y")=0,"",UPPER(MID(IF(V32="Y","/neurotoxic","")&amp;IF(W32="Y","/hemotoxic","")&amp;IF(X32="Y","/procoagulant","")&amp;IF(Y32="Y","/anticoagulant","")&amp;IF(Z32="Y","/hemorrhagic","")&amp;IF(AA32="Y","/cytotoxic","")&amp;IF(AB32="Y","/myotoxic","")&amp;IF(AC32="Y","/cardiotoxic",""),2,1))&amp;MID(IF(V32="Y","/neurotoxic","")&amp;IF(W32="Y","/hemotoxic","")&amp;IF(X32="Y","/procoagulant","")&amp;IF(Y32="Y","/anticoagulant","")&amp;IF(Z32="Y","/hemorrhagic","")&amp;IF(AA32="Y","/cytotoxic","")&amp;IF(AB32="Y","/myotoxic","")&amp;IF(AC32="Y","/cardiotoxic",""),3,200))</f>
        <v>Hemotoxic</v>
      </c>
      <c r="G32" s="19" t="n">
        <f aca="false">IFERROR(INDEX('LD50 Sources'!$C$2:$C$1000,MATCH($A32,'LD50 Sources'!$L$2:$L$1000,0)),"")</f>
        <v>0.75</v>
      </c>
      <c r="H32" s="11" t="str">
        <f aca="false">IFERROR(INDEX('LD50 Sources'!$D$2:$D$1000,MATCH($A32,'LD50 Sources'!$L$2:$L$1000,0))&amp;"","")</f>
        <v>SC</v>
      </c>
      <c r="I32" s="11" t="str">
        <f aca="false">IFERROR(INDEX('LD50 Sources'!$H$2:$H$1000,MATCH($A32,'LD50 Sources'!$L$2:$L$1000,0))&amp;"","")</f>
        <v>C</v>
      </c>
      <c r="J32" s="20" t="str">
        <f aca="false">IF(COUNTIFS('LD50 Sources'!$A$2:$A$1000,$A32,'LD50 Sources'!$K$2:$K$1000,1)&lt;2,"",ROUND(_xlfn.MAXIFS('LD50 Sources'!$C$2:$C$1000,'LD50 Sources'!$A$2:$A$1000,$A32,'LD50 Sources'!$K$2:$K$1000,1)/_xlfn.MINIFS('LD50 Sources'!$C$2:$C$1000,'LD50 Sources'!$A$2:$A$1000,$A32,'LD50 Sources'!$K$2:$K$1000,1),1))</f>
        <v/>
      </c>
      <c r="K32" s="21" t="n">
        <f aca="false">IFERROR(INDEX('Yield Sources'!$C$2:$C$1000,MATCH($A32,'Yield Sources'!$N$2:$N$1000,0)),"")</f>
        <v>65</v>
      </c>
      <c r="L32" s="21" t="n">
        <f aca="false">IFERROR(INDEX('Yield Sources'!$D$2:$D$1000,MATCH($A32,'Yield Sources'!$N$2:$N$1000,0)),"")</f>
        <v>90</v>
      </c>
      <c r="M32" s="11" t="str">
        <f aca="false">IFERROR(INDEX('Yield Sources'!$J$2:$J$1000,MATCH($A32,'Yield Sources'!$N$2:$N$1000,0))&amp;"","")</f>
        <v>C</v>
      </c>
      <c r="N32" s="20" t="str">
        <f aca="false">IF(COUNTIFS('Yield Sources'!$A$2:$A$1000,$A32,'Yield Sources'!$M$2:$M$1000,1)&lt;2,"",ROUND(_xlfn.MAXIFS('Yield Sources'!$D$2:$D$1000,'Yield Sources'!$A$2:$A$1000,$A32,'Yield Sources'!$M$2:$M$1000,1)/_xlfn.MINIFS('Yield Sources'!$D$2:$D$1000,'Yield Sources'!$A$2:$A$1000,$A32,'Yield Sources'!$M$2:$M$1000,1),1))</f>
        <v/>
      </c>
      <c r="O32" s="8" t="n">
        <v>4</v>
      </c>
      <c r="P32" s="8" t="n">
        <v>2</v>
      </c>
      <c r="Q32" s="5" t="s">
        <v>159</v>
      </c>
      <c r="R32" s="5" t="s">
        <v>160</v>
      </c>
      <c r="S32" s="11" t="str">
        <f aca="false">IFERROR(INDEX('Clinical Sources'!$M$2:$M$1000,MATCH($A32&amp;"|Annual deaths",'Clinical Sources'!$N$2:$N$1000,0)),"")</f>
        <v/>
      </c>
      <c r="T32" s="11" t="str">
        <f aca="false">IFERROR(INDEX('Clinical Sources'!$M$2:$M$1000,MATCH($A32&amp;"|Case-fatality rate",'Clinical Sources'!$N$2:$N$1000,0)),"")</f>
        <v/>
      </c>
      <c r="U32" s="9" t="s">
        <v>296</v>
      </c>
      <c r="V32" s="22"/>
      <c r="W32" s="22" t="s">
        <v>153</v>
      </c>
      <c r="X32" s="22"/>
      <c r="Y32" s="22"/>
      <c r="Z32" s="22"/>
      <c r="AA32" s="22"/>
      <c r="AB32" s="22"/>
      <c r="AC32" s="22"/>
      <c r="AD32" s="13" t="s">
        <v>154</v>
      </c>
      <c r="AE32" s="9" t="s">
        <v>297</v>
      </c>
    </row>
    <row r="33" customFormat="false" ht="14.25" hidden="false" customHeight="true" outlineLevel="0" collapsed="false">
      <c r="A33" s="4" t="s">
        <v>62</v>
      </c>
      <c r="B33" s="5" t="s">
        <v>298</v>
      </c>
      <c r="C33" s="9" t="s">
        <v>299</v>
      </c>
      <c r="D33" s="5" t="s">
        <v>148</v>
      </c>
      <c r="E33" s="5" t="s">
        <v>300</v>
      </c>
      <c r="F33" s="11" t="str">
        <f aca="false">IF(COUNTIF(V33:AC33,"Y")=0,"",UPPER(MID(IF(V33="Y","/neurotoxic","")&amp;IF(W33="Y","/hemotoxic","")&amp;IF(X33="Y","/procoagulant","")&amp;IF(Y33="Y","/anticoagulant","")&amp;IF(Z33="Y","/hemorrhagic","")&amp;IF(AA33="Y","/cytotoxic","")&amp;IF(AB33="Y","/myotoxic","")&amp;IF(AC33="Y","/cardiotoxic",""),2,1))&amp;MID(IF(V33="Y","/neurotoxic","")&amp;IF(W33="Y","/hemotoxic","")&amp;IF(X33="Y","/procoagulant","")&amp;IF(Y33="Y","/anticoagulant","")&amp;IF(Z33="Y","/hemorrhagic","")&amp;IF(AA33="Y","/cytotoxic","")&amp;IF(AB33="Y","/myotoxic","")&amp;IF(AC33="Y","/cardiotoxic",""),3,200))</f>
        <v>Hemotoxic</v>
      </c>
      <c r="G33" s="19" t="n">
        <f aca="false">IFERROR(INDEX('LD50 Sources'!$C$2:$C$1000,MATCH($A33,'LD50 Sources'!$L$2:$L$1000,0)),"")</f>
        <v>0.8</v>
      </c>
      <c r="H33" s="11" t="str">
        <f aca="false">IFERROR(INDEX('LD50 Sources'!$D$2:$D$1000,MATCH($A33,'LD50 Sources'!$L$2:$L$1000,0))&amp;"","")</f>
        <v>SC</v>
      </c>
      <c r="I33" s="11" t="str">
        <f aca="false">IFERROR(INDEX('LD50 Sources'!$H$2:$H$1000,MATCH($A33,'LD50 Sources'!$L$2:$L$1000,0))&amp;"","")</f>
        <v>C</v>
      </c>
      <c r="J33" s="20" t="str">
        <f aca="false">IF(COUNTIFS('LD50 Sources'!$A$2:$A$1000,$A33,'LD50 Sources'!$K$2:$K$1000,1)&lt;2,"",ROUND(_xlfn.MAXIFS('LD50 Sources'!$C$2:$C$1000,'LD50 Sources'!$A$2:$A$1000,$A33,'LD50 Sources'!$K$2:$K$1000,1)/_xlfn.MINIFS('LD50 Sources'!$C$2:$C$1000,'LD50 Sources'!$A$2:$A$1000,$A33,'LD50 Sources'!$K$2:$K$1000,1),1))</f>
        <v/>
      </c>
      <c r="K33" s="21" t="n">
        <f aca="false">IFERROR(INDEX('Yield Sources'!$C$2:$C$1000,MATCH($A33,'Yield Sources'!$N$2:$N$1000,0)),"")</f>
        <v>50</v>
      </c>
      <c r="L33" s="21" t="n">
        <f aca="false">IFERROR(INDEX('Yield Sources'!$D$2:$D$1000,MATCH($A33,'Yield Sources'!$N$2:$N$1000,0)),"")</f>
        <v>95</v>
      </c>
      <c r="M33" s="11" t="str">
        <f aca="false">IFERROR(INDEX('Yield Sources'!$J$2:$J$1000,MATCH($A33,'Yield Sources'!$N$2:$N$1000,0))&amp;"","")</f>
        <v>C</v>
      </c>
      <c r="N33" s="20" t="str">
        <f aca="false">IF(COUNTIFS('Yield Sources'!$A$2:$A$1000,$A33,'Yield Sources'!$M$2:$M$1000,1)&lt;2,"",ROUND(_xlfn.MAXIFS('Yield Sources'!$D$2:$D$1000,'Yield Sources'!$A$2:$A$1000,$A33,'Yield Sources'!$M$2:$M$1000,1)/_xlfn.MINIFS('Yield Sources'!$D$2:$D$1000,'Yield Sources'!$A$2:$A$1000,$A33,'Yield Sources'!$M$2:$M$1000,1),1))</f>
        <v/>
      </c>
      <c r="O33" s="8" t="n">
        <v>6</v>
      </c>
      <c r="P33" s="8" t="n">
        <v>4</v>
      </c>
      <c r="Q33" s="5" t="s">
        <v>150</v>
      </c>
      <c r="R33" s="5" t="s">
        <v>160</v>
      </c>
      <c r="S33" s="11" t="str">
        <f aca="false">IFERROR(INDEX('Clinical Sources'!$M$2:$M$1000,MATCH($A33&amp;"|Annual deaths",'Clinical Sources'!$N$2:$N$1000,0)),"")</f>
        <v/>
      </c>
      <c r="T33" s="11" t="str">
        <f aca="false">IFERROR(INDEX('Clinical Sources'!$M$2:$M$1000,MATCH($A33&amp;"|Case-fatality rate",'Clinical Sources'!$N$2:$N$1000,0)),"")</f>
        <v/>
      </c>
      <c r="U33" s="9" t="s">
        <v>301</v>
      </c>
      <c r="V33" s="22"/>
      <c r="W33" s="22" t="s">
        <v>153</v>
      </c>
      <c r="X33" s="22"/>
      <c r="Y33" s="22"/>
      <c r="Z33" s="22"/>
      <c r="AA33" s="22"/>
      <c r="AB33" s="22"/>
      <c r="AC33" s="22"/>
      <c r="AD33" s="13" t="s">
        <v>154</v>
      </c>
      <c r="AE33" s="9" t="s">
        <v>302</v>
      </c>
    </row>
    <row r="34" customFormat="false" ht="39" hidden="false" customHeight="true" outlineLevel="0" collapsed="false">
      <c r="A34" s="4" t="s">
        <v>54</v>
      </c>
      <c r="B34" s="5" t="s">
        <v>303</v>
      </c>
      <c r="C34" s="9"/>
      <c r="D34" s="5" t="s">
        <v>304</v>
      </c>
      <c r="E34" s="5" t="s">
        <v>184</v>
      </c>
      <c r="F34" s="11" t="str">
        <f aca="false">IF(COUNTIF(V34:AC34,"Y")=0,"",UPPER(MID(IF(V34="Y","/neurotoxic","")&amp;IF(W34="Y","/hemotoxic","")&amp;IF(X34="Y","/procoagulant","")&amp;IF(Y34="Y","/anticoagulant","")&amp;IF(Z34="Y","/hemorrhagic","")&amp;IF(AA34="Y","/cytotoxic","")&amp;IF(AB34="Y","/myotoxic","")&amp;IF(AC34="Y","/cardiotoxic",""),2,1))&amp;MID(IF(V34="Y","/neurotoxic","")&amp;IF(W34="Y","/hemotoxic","")&amp;IF(X34="Y","/procoagulant","")&amp;IF(Y34="Y","/anticoagulant","")&amp;IF(Z34="Y","/hemorrhagic","")&amp;IF(AA34="Y","/cytotoxic","")&amp;IF(AB34="Y","/myotoxic","")&amp;IF(AC34="Y","/cardiotoxic",""),3,200))</f>
        <v>Hemotoxic/procoagulant</v>
      </c>
      <c r="G34" s="19" t="n">
        <f aca="false">IFERROR(INDEX('LD50 Sources'!$C$2:$C$1000,MATCH($A34,'LD50 Sources'!$L$2:$L$1000,0)),"")</f>
        <v>0.07</v>
      </c>
      <c r="H34" s="11" t="str">
        <f aca="false">IFERROR(INDEX('LD50 Sources'!$D$2:$D$1000,MATCH($A34,'LD50 Sources'!$L$2:$L$1000,0))&amp;"","")</f>
        <v>SC</v>
      </c>
      <c r="I34" s="11" t="str">
        <f aca="false">IFERROR(INDEX('LD50 Sources'!$H$2:$H$1000,MATCH($A34,'LD50 Sources'!$L$2:$L$1000,0))&amp;"","")</f>
        <v>C</v>
      </c>
      <c r="J34" s="20" t="str">
        <f aca="false">IF(COUNTIFS('LD50 Sources'!$A$2:$A$1000,$A34,'LD50 Sources'!$K$2:$K$1000,1)&lt;2,"",ROUND(_xlfn.MAXIFS('LD50 Sources'!$C$2:$C$1000,'LD50 Sources'!$A$2:$A$1000,$A34,'LD50 Sources'!$K$2:$K$1000,1)/_xlfn.MINIFS('LD50 Sources'!$C$2:$C$1000,'LD50 Sources'!$A$2:$A$1000,$A34,'LD50 Sources'!$K$2:$K$1000,1),1))</f>
        <v/>
      </c>
      <c r="K34" s="21" t="n">
        <f aca="false">IFERROR(INDEX('Yield Sources'!$C$2:$C$1000,MATCH($A34,'Yield Sources'!$N$2:$N$1000,0)),"")</f>
        <v>1.6</v>
      </c>
      <c r="L34" s="21" t="n">
        <f aca="false">IFERROR(INDEX('Yield Sources'!$D$2:$D$1000,MATCH($A34,'Yield Sources'!$N$2:$N$1000,0)),"")</f>
        <v>8</v>
      </c>
      <c r="M34" s="11" t="str">
        <f aca="false">IFERROR(INDEX('Yield Sources'!$J$2:$J$1000,MATCH($A34,'Yield Sources'!$N$2:$N$1000,0))&amp;"","")</f>
        <v>C</v>
      </c>
      <c r="N34" s="20" t="str">
        <f aca="false">IF(COUNTIFS('Yield Sources'!$A$2:$A$1000,$A34,'Yield Sources'!$M$2:$M$1000,1)&lt;2,"",ROUND(_xlfn.MAXIFS('Yield Sources'!$D$2:$D$1000,'Yield Sources'!$A$2:$A$1000,$A34,'Yield Sources'!$M$2:$M$1000,1)/_xlfn.MINIFS('Yield Sources'!$D$2:$D$1000,'Yield Sources'!$A$2:$A$1000,$A34,'Yield Sources'!$M$2:$M$1000,1),1))</f>
        <v/>
      </c>
      <c r="O34" s="8" t="n">
        <v>2</v>
      </c>
      <c r="P34" s="8" t="n">
        <v>2</v>
      </c>
      <c r="Q34" s="5" t="s">
        <v>159</v>
      </c>
      <c r="R34" s="5" t="s">
        <v>174</v>
      </c>
      <c r="S34" s="11" t="str">
        <f aca="false">IFERROR(INDEX('Clinical Sources'!$M$2:$M$1000,MATCH($A34&amp;"|Annual deaths",'Clinical Sources'!$N$2:$N$1000,0)),"")</f>
        <v/>
      </c>
      <c r="T34" s="11" t="str">
        <f aca="false">IFERROR(INDEX('Clinical Sources'!$M$2:$M$1000,MATCH($A34&amp;"|Case-fatality rate",'Clinical Sources'!$N$2:$N$1000,0)),"")</f>
        <v/>
      </c>
      <c r="U34" s="9" t="s">
        <v>305</v>
      </c>
      <c r="V34" s="22"/>
      <c r="W34" s="22" t="s">
        <v>153</v>
      </c>
      <c r="X34" s="22" t="s">
        <v>153</v>
      </c>
      <c r="Y34" s="22"/>
      <c r="Z34" s="22"/>
      <c r="AA34" s="22"/>
      <c r="AB34" s="22"/>
      <c r="AC34" s="22"/>
      <c r="AD34" s="13" t="s">
        <v>154</v>
      </c>
      <c r="AE34" s="9" t="s">
        <v>306</v>
      </c>
    </row>
    <row r="35" customFormat="false" ht="26.25" hidden="false" customHeight="true" outlineLevel="0" collapsed="false">
      <c r="A35" s="4" t="s">
        <v>83</v>
      </c>
      <c r="B35" s="5" t="s">
        <v>307</v>
      </c>
      <c r="C35" s="9" t="s">
        <v>308</v>
      </c>
      <c r="D35" s="5" t="s">
        <v>165</v>
      </c>
      <c r="E35" s="5" t="s">
        <v>202</v>
      </c>
      <c r="F35" s="11" t="str">
        <f aca="false">IF(COUNTIF(V35:AC35,"Y")=0,"",UPPER(MID(IF(V35="Y","/neurotoxic","")&amp;IF(W35="Y","/hemotoxic","")&amp;IF(X35="Y","/procoagulant","")&amp;IF(Y35="Y","/anticoagulant","")&amp;IF(Z35="Y","/hemorrhagic","")&amp;IF(AA35="Y","/cytotoxic","")&amp;IF(AB35="Y","/myotoxic","")&amp;IF(AC35="Y","/cardiotoxic",""),2,1))&amp;MID(IF(V35="Y","/neurotoxic","")&amp;IF(W35="Y","/hemotoxic","")&amp;IF(X35="Y","/procoagulant","")&amp;IF(Y35="Y","/anticoagulant","")&amp;IF(Z35="Y","/hemorrhagic","")&amp;IF(AA35="Y","/cytotoxic","")&amp;IF(AB35="Y","/myotoxic","")&amp;IF(AC35="Y","/cardiotoxic",""),3,200))</f>
        <v>Neurotoxic/hemotoxic/anticoagulant</v>
      </c>
      <c r="G35" s="19" t="n">
        <f aca="false">IFERROR(INDEX('LD50 Sources'!$C$2:$C$1000,MATCH($A35,'LD50 Sources'!$L$2:$L$1000,0)),"")</f>
        <v>2.52</v>
      </c>
      <c r="H35" s="11" t="str">
        <f aca="false">IFERROR(INDEX('LD50 Sources'!$D$2:$D$1000,MATCH($A35,'LD50 Sources'!$L$2:$L$1000,0))&amp;"","")</f>
        <v>SC</v>
      </c>
      <c r="I35" s="11" t="str">
        <f aca="false">IFERROR(INDEX('LD50 Sources'!$H$2:$H$1000,MATCH($A35,'LD50 Sources'!$L$2:$L$1000,0))&amp;"","")</f>
        <v>A</v>
      </c>
      <c r="J35" s="20" t="str">
        <f aca="false">IF(COUNTIFS('LD50 Sources'!$A$2:$A$1000,$A35,'LD50 Sources'!$K$2:$K$1000,1)&lt;2,"",ROUND(_xlfn.MAXIFS('LD50 Sources'!$C$2:$C$1000,'LD50 Sources'!$A$2:$A$1000,$A35,'LD50 Sources'!$K$2:$K$1000,1)/_xlfn.MINIFS('LD50 Sources'!$C$2:$C$1000,'LD50 Sources'!$A$2:$A$1000,$A35,'LD50 Sources'!$K$2:$K$1000,1),1))</f>
        <v/>
      </c>
      <c r="K35" s="21" t="n">
        <f aca="false">IFERROR(INDEX('Yield Sources'!$C$2:$C$1000,MATCH($A35,'Yield Sources'!$N$2:$N$1000,0)),"")</f>
        <v>30</v>
      </c>
      <c r="L35" s="21" t="n">
        <f aca="false">IFERROR(INDEX('Yield Sources'!$D$2:$D$1000,MATCH($A35,'Yield Sources'!$N$2:$N$1000,0)),"")</f>
        <v>50</v>
      </c>
      <c r="M35" s="11" t="str">
        <f aca="false">IFERROR(INDEX('Yield Sources'!$J$2:$J$1000,MATCH($A35,'Yield Sources'!$N$2:$N$1000,0))&amp;"","")</f>
        <v>C</v>
      </c>
      <c r="N35" s="20" t="str">
        <f aca="false">IF(COUNTIFS('Yield Sources'!$A$2:$A$1000,$A35,'Yield Sources'!$M$2:$M$1000,1)&lt;2,"",ROUND(_xlfn.MAXIFS('Yield Sources'!$D$2:$D$1000,'Yield Sources'!$A$2:$A$1000,$A35,'Yield Sources'!$M$2:$M$1000,1)/_xlfn.MINIFS('Yield Sources'!$D$2:$D$1000,'Yield Sources'!$A$2:$A$1000,$A35,'Yield Sources'!$M$2:$M$1000,1),1))</f>
        <v/>
      </c>
      <c r="O35" s="8" t="n">
        <v>6</v>
      </c>
      <c r="P35" s="8" t="n">
        <v>2</v>
      </c>
      <c r="Q35" s="5" t="s">
        <v>173</v>
      </c>
      <c r="R35" s="5" t="s">
        <v>151</v>
      </c>
      <c r="S35" s="11" t="str">
        <f aca="false">IFERROR(INDEX('Clinical Sources'!$M$2:$M$1000,MATCH($A35&amp;"|Annual deaths",'Clinical Sources'!$N$2:$N$1000,0)),"")</f>
        <v/>
      </c>
      <c r="T35" s="11" t="str">
        <f aca="false">IFERROR(INDEX('Clinical Sources'!$M$2:$M$1000,MATCH($A35&amp;"|Case-fatality rate",'Clinical Sources'!$N$2:$N$1000,0)),"")</f>
        <v/>
      </c>
      <c r="U35" s="9" t="s">
        <v>309</v>
      </c>
      <c r="V35" s="22" t="s">
        <v>153</v>
      </c>
      <c r="W35" s="22" t="s">
        <v>153</v>
      </c>
      <c r="X35" s="22"/>
      <c r="Y35" s="22" t="s">
        <v>153</v>
      </c>
      <c r="Z35" s="22"/>
      <c r="AA35" s="22"/>
      <c r="AB35" s="22"/>
      <c r="AC35" s="22"/>
      <c r="AD35" s="13" t="s">
        <v>154</v>
      </c>
      <c r="AE35" s="9" t="s">
        <v>310</v>
      </c>
    </row>
    <row r="36" customFormat="false" ht="26.25" hidden="false" customHeight="true" outlineLevel="0" collapsed="false">
      <c r="A36" s="4" t="s">
        <v>67</v>
      </c>
      <c r="B36" s="5" t="s">
        <v>311</v>
      </c>
      <c r="C36" s="9"/>
      <c r="D36" s="5" t="s">
        <v>165</v>
      </c>
      <c r="E36" s="5" t="s">
        <v>149</v>
      </c>
      <c r="F36" s="11" t="str">
        <f aca="false">IF(COUNTIF(V36:AC36,"Y")=0,"",UPPER(MID(IF(V36="Y","/neurotoxic","")&amp;IF(W36="Y","/hemotoxic","")&amp;IF(X36="Y","/procoagulant","")&amp;IF(Y36="Y","/anticoagulant","")&amp;IF(Z36="Y","/hemorrhagic","")&amp;IF(AA36="Y","/cytotoxic","")&amp;IF(AB36="Y","/myotoxic","")&amp;IF(AC36="Y","/cardiotoxic",""),2,1))&amp;MID(IF(V36="Y","/neurotoxic","")&amp;IF(W36="Y","/hemotoxic","")&amp;IF(X36="Y","/procoagulant","")&amp;IF(Y36="Y","/anticoagulant","")&amp;IF(Z36="Y","/hemorrhagic","")&amp;IF(AA36="Y","/cytotoxic","")&amp;IF(AB36="Y","/myotoxic","")&amp;IF(AC36="Y","/cardiotoxic",""),3,200))</f>
        <v>Neurotoxic</v>
      </c>
      <c r="G36" s="19" t="n">
        <f aca="false">IFERROR(INDEX('LD50 Sources'!$C$2:$C$1000,MATCH($A36,'LD50 Sources'!$L$2:$L$1000,0)),"")</f>
        <v>1.2</v>
      </c>
      <c r="H36" s="11" t="str">
        <f aca="false">IFERROR(INDEX('LD50 Sources'!$D$2:$D$1000,MATCH($A36,'LD50 Sources'!$L$2:$L$1000,0))&amp;"","")</f>
        <v>SC</v>
      </c>
      <c r="I36" s="11" t="str">
        <f aca="false">IFERROR(INDEX('LD50 Sources'!$H$2:$H$1000,MATCH($A36,'LD50 Sources'!$L$2:$L$1000,0))&amp;"","")</f>
        <v>C</v>
      </c>
      <c r="J36" s="20" t="str">
        <f aca="false">IF(COUNTIFS('LD50 Sources'!$A$2:$A$1000,$A36,'LD50 Sources'!$K$2:$K$1000,1)&lt;2,"",ROUND(_xlfn.MAXIFS('LD50 Sources'!$C$2:$C$1000,'LD50 Sources'!$A$2:$A$1000,$A36,'LD50 Sources'!$K$2:$K$1000,1)/_xlfn.MINIFS('LD50 Sources'!$C$2:$C$1000,'LD50 Sources'!$A$2:$A$1000,$A36,'LD50 Sources'!$K$2:$K$1000,1),1))</f>
        <v/>
      </c>
      <c r="K36" s="21" t="n">
        <f aca="false">IFERROR(INDEX('Yield Sources'!$C$2:$C$1000,MATCH($A36,'Yield Sources'!$N$2:$N$1000,0)),"")</f>
        <v>20</v>
      </c>
      <c r="L36" s="21" t="n">
        <f aca="false">IFERROR(INDEX('Yield Sources'!$D$2:$D$1000,MATCH($A36,'Yield Sources'!$N$2:$N$1000,0)),"")</f>
        <v>114</v>
      </c>
      <c r="M36" s="11" t="str">
        <f aca="false">IFERROR(INDEX('Yield Sources'!$J$2:$J$1000,MATCH($A36,'Yield Sources'!$N$2:$N$1000,0))&amp;"","")</f>
        <v>C</v>
      </c>
      <c r="N36" s="20" t="str">
        <f aca="false">IF(COUNTIFS('Yield Sources'!$A$2:$A$1000,$A36,'Yield Sources'!$M$2:$M$1000,1)&lt;2,"",ROUND(_xlfn.MAXIFS('Yield Sources'!$D$2:$D$1000,'Yield Sources'!$A$2:$A$1000,$A36,'Yield Sources'!$M$2:$M$1000,1)/_xlfn.MINIFS('Yield Sources'!$D$2:$D$1000,'Yield Sources'!$A$2:$A$1000,$A36,'Yield Sources'!$M$2:$M$1000,1),1))</f>
        <v/>
      </c>
      <c r="O36" s="8" t="n">
        <v>6</v>
      </c>
      <c r="P36" s="8" t="n">
        <v>2</v>
      </c>
      <c r="Q36" s="5" t="s">
        <v>167</v>
      </c>
      <c r="R36" s="5" t="s">
        <v>160</v>
      </c>
      <c r="S36" s="11" t="str">
        <f aca="false">IFERROR(INDEX('Clinical Sources'!$M$2:$M$1000,MATCH($A36&amp;"|Annual deaths",'Clinical Sources'!$N$2:$N$1000,0)),"")</f>
        <v/>
      </c>
      <c r="T36" s="11" t="str">
        <f aca="false">IFERROR(INDEX('Clinical Sources'!$M$2:$M$1000,MATCH($A36&amp;"|Case-fatality rate",'Clinical Sources'!$N$2:$N$1000,0)),"")</f>
        <v/>
      </c>
      <c r="U36" s="9" t="s">
        <v>312</v>
      </c>
      <c r="V36" s="22" t="s">
        <v>153</v>
      </c>
      <c r="W36" s="22"/>
      <c r="X36" s="22"/>
      <c r="Y36" s="22"/>
      <c r="Z36" s="22"/>
      <c r="AA36" s="22"/>
      <c r="AB36" s="22"/>
      <c r="AC36" s="22"/>
      <c r="AD36" s="13" t="s">
        <v>154</v>
      </c>
      <c r="AE36" s="9" t="s">
        <v>313</v>
      </c>
    </row>
    <row r="37" customFormat="false" ht="14.25" hidden="false" customHeight="true" outlineLevel="0" collapsed="false">
      <c r="A37" s="4" t="s">
        <v>59</v>
      </c>
      <c r="B37" s="5" t="s">
        <v>314</v>
      </c>
      <c r="C37" s="9" t="s">
        <v>315</v>
      </c>
      <c r="D37" s="5" t="s">
        <v>148</v>
      </c>
      <c r="E37" s="5" t="s">
        <v>316</v>
      </c>
      <c r="F37" s="11" t="str">
        <f aca="false">IF(COUNTIF(V37:AC37,"Y")=0,"",UPPER(MID(IF(V37="Y","/neurotoxic","")&amp;IF(W37="Y","/hemotoxic","")&amp;IF(X37="Y","/procoagulant","")&amp;IF(Y37="Y","/anticoagulant","")&amp;IF(Z37="Y","/hemorrhagic","")&amp;IF(AA37="Y","/cytotoxic","")&amp;IF(AB37="Y","/myotoxic","")&amp;IF(AC37="Y","/cardiotoxic",""),2,1))&amp;MID(IF(V37="Y","/neurotoxic","")&amp;IF(W37="Y","/hemotoxic","")&amp;IF(X37="Y","/procoagulant","")&amp;IF(Y37="Y","/anticoagulant","")&amp;IF(Z37="Y","/hemorrhagic","")&amp;IF(AA37="Y","/cytotoxic","")&amp;IF(AB37="Y","/myotoxic","")&amp;IF(AC37="Y","/cardiotoxic",""),3,200))</f>
        <v>Hemotoxic</v>
      </c>
      <c r="G37" s="19" t="n">
        <f aca="false">IFERROR(INDEX('LD50 Sources'!$C$2:$C$1000,MATCH($A37,'LD50 Sources'!$L$2:$L$1000,0)),"")</f>
        <v>0.2</v>
      </c>
      <c r="H37" s="11" t="str">
        <f aca="false">IFERROR(INDEX('LD50 Sources'!$D$2:$D$1000,MATCH($A37,'LD50 Sources'!$L$2:$L$1000,0))&amp;"","")</f>
        <v>SC</v>
      </c>
      <c r="I37" s="11" t="str">
        <f aca="false">IFERROR(INDEX('LD50 Sources'!$H$2:$H$1000,MATCH($A37,'LD50 Sources'!$L$2:$L$1000,0))&amp;"","")</f>
        <v>C</v>
      </c>
      <c r="J37" s="20" t="str">
        <f aca="false">IF(COUNTIFS('LD50 Sources'!$A$2:$A$1000,$A37,'LD50 Sources'!$K$2:$K$1000,1)&lt;2,"",ROUND(_xlfn.MAXIFS('LD50 Sources'!$C$2:$C$1000,'LD50 Sources'!$A$2:$A$1000,$A37,'LD50 Sources'!$K$2:$K$1000,1)/_xlfn.MINIFS('LD50 Sources'!$C$2:$C$1000,'LD50 Sources'!$A$2:$A$1000,$A37,'LD50 Sources'!$K$2:$K$1000,1),1))</f>
        <v/>
      </c>
      <c r="K37" s="21" t="n">
        <f aca="false">IFERROR(INDEX('Yield Sources'!$C$2:$C$1000,MATCH($A37,'Yield Sources'!$N$2:$N$1000,0)),"")</f>
        <v>8</v>
      </c>
      <c r="L37" s="21" t="n">
        <f aca="false">IFERROR(INDEX('Yield Sources'!$D$2:$D$1000,MATCH($A37,'Yield Sources'!$N$2:$N$1000,0)),"")</f>
        <v>18</v>
      </c>
      <c r="M37" s="11" t="str">
        <f aca="false">IFERROR(INDEX('Yield Sources'!$J$2:$J$1000,MATCH($A37,'Yield Sources'!$N$2:$N$1000,0))&amp;"","")</f>
        <v>C</v>
      </c>
      <c r="N37" s="20" t="str">
        <f aca="false">IF(COUNTIFS('Yield Sources'!$A$2:$A$1000,$A37,'Yield Sources'!$M$2:$M$1000,1)&lt;2,"",ROUND(_xlfn.MAXIFS('Yield Sources'!$D$2:$D$1000,'Yield Sources'!$A$2:$A$1000,$A37,'Yield Sources'!$M$2:$M$1000,1)/_xlfn.MINIFS('Yield Sources'!$D$2:$D$1000,'Yield Sources'!$A$2:$A$1000,$A37,'Yield Sources'!$M$2:$M$1000,1),1))</f>
        <v/>
      </c>
      <c r="O37" s="8" t="n">
        <v>5</v>
      </c>
      <c r="P37" s="8" t="n">
        <v>3</v>
      </c>
      <c r="Q37" s="5" t="s">
        <v>159</v>
      </c>
      <c r="R37" s="5" t="s">
        <v>160</v>
      </c>
      <c r="S37" s="11" t="str">
        <f aca="false">IFERROR(INDEX('Clinical Sources'!$M$2:$M$1000,MATCH($A37&amp;"|Annual deaths",'Clinical Sources'!$N$2:$N$1000,0)),"")</f>
        <v/>
      </c>
      <c r="T37" s="11" t="str">
        <f aca="false">IFERROR(INDEX('Clinical Sources'!$M$2:$M$1000,MATCH($A37&amp;"|Case-fatality rate",'Clinical Sources'!$N$2:$N$1000,0)),"")</f>
        <v/>
      </c>
      <c r="U37" s="9" t="s">
        <v>317</v>
      </c>
      <c r="V37" s="22"/>
      <c r="W37" s="22" t="s">
        <v>153</v>
      </c>
      <c r="X37" s="22"/>
      <c r="Y37" s="22"/>
      <c r="Z37" s="22"/>
      <c r="AA37" s="22"/>
      <c r="AB37" s="22"/>
      <c r="AC37" s="22"/>
      <c r="AD37" s="13" t="s">
        <v>154</v>
      </c>
      <c r="AE37" s="9" t="s">
        <v>318</v>
      </c>
    </row>
    <row r="38" customFormat="false" ht="26.25" hidden="false" customHeight="true" outlineLevel="0" collapsed="false">
      <c r="A38" s="4" t="s">
        <v>70</v>
      </c>
      <c r="B38" s="5" t="s">
        <v>319</v>
      </c>
      <c r="C38" s="9" t="s">
        <v>320</v>
      </c>
      <c r="D38" s="5" t="s">
        <v>148</v>
      </c>
      <c r="E38" s="5" t="s">
        <v>221</v>
      </c>
      <c r="F38" s="11" t="str">
        <f aca="false">IF(COUNTIF(V38:AC38,"Y")=0,"",UPPER(MID(IF(V38="Y","/neurotoxic","")&amp;IF(W38="Y","/hemotoxic","")&amp;IF(X38="Y","/procoagulant","")&amp;IF(Y38="Y","/anticoagulant","")&amp;IF(Z38="Y","/hemorrhagic","")&amp;IF(AA38="Y","/cytotoxic","")&amp;IF(AB38="Y","/myotoxic","")&amp;IF(AC38="Y","/cardiotoxic",""),2,1))&amp;MID(IF(V38="Y","/neurotoxic","")&amp;IF(W38="Y","/hemotoxic","")&amp;IF(X38="Y","/procoagulant","")&amp;IF(Y38="Y","/anticoagulant","")&amp;IF(Z38="Y","/hemorrhagic","")&amp;IF(AA38="Y","/cytotoxic","")&amp;IF(AB38="Y","/myotoxic","")&amp;IF(AC38="Y","/cardiotoxic",""),3,200))</f>
        <v>Hemotoxic</v>
      </c>
      <c r="G38" s="19" t="n">
        <f aca="false">IFERROR(INDEX('LD50 Sources'!$C$2:$C$1000,MATCH($A38,'LD50 Sources'!$L$2:$L$1000,0)),"")</f>
        <v>2.04</v>
      </c>
      <c r="H38" s="11" t="str">
        <f aca="false">IFERROR(INDEX('LD50 Sources'!$D$2:$D$1000,MATCH($A38,'LD50 Sources'!$L$2:$L$1000,0))&amp;"","")</f>
        <v>SC</v>
      </c>
      <c r="I38" s="11" t="str">
        <f aca="false">IFERROR(INDEX('LD50 Sources'!$H$2:$H$1000,MATCH($A38,'LD50 Sources'!$L$2:$L$1000,0))&amp;"","")</f>
        <v>C</v>
      </c>
      <c r="J38" s="20" t="str">
        <f aca="false">IF(COUNTIFS('LD50 Sources'!$A$2:$A$1000,$A38,'LD50 Sources'!$K$2:$K$1000,1)&lt;2,"",ROUND(_xlfn.MAXIFS('LD50 Sources'!$C$2:$C$1000,'LD50 Sources'!$A$2:$A$1000,$A38,'LD50 Sources'!$K$2:$K$1000,1)/_xlfn.MINIFS('LD50 Sources'!$C$2:$C$1000,'LD50 Sources'!$A$2:$A$1000,$A38,'LD50 Sources'!$K$2:$K$1000,1),1))</f>
        <v/>
      </c>
      <c r="K38" s="21" t="n">
        <f aca="false">IFERROR(INDEX('Yield Sources'!$C$2:$C$1000,MATCH($A38,'Yield Sources'!$N$2:$N$1000,0)),"")</f>
        <v>80</v>
      </c>
      <c r="L38" s="21" t="n">
        <f aca="false">IFERROR(INDEX('Yield Sources'!$D$2:$D$1000,MATCH($A38,'Yield Sources'!$N$2:$N$1000,0)),"")</f>
        <v>170</v>
      </c>
      <c r="M38" s="11" t="str">
        <f aca="false">IFERROR(INDEX('Yield Sources'!$J$2:$J$1000,MATCH($A38,'Yield Sources'!$N$2:$N$1000,0))&amp;"","")</f>
        <v>C</v>
      </c>
      <c r="N38" s="20" t="str">
        <f aca="false">IF(COUNTIFS('Yield Sources'!$A$2:$A$1000,$A38,'Yield Sources'!$M$2:$M$1000,1)&lt;2,"",ROUND(_xlfn.MAXIFS('Yield Sources'!$D$2:$D$1000,'Yield Sources'!$A$2:$A$1000,$A38,'Yield Sources'!$M$2:$M$1000,1)/_xlfn.MINIFS('Yield Sources'!$D$2:$D$1000,'Yield Sources'!$A$2:$A$1000,$A38,'Yield Sources'!$M$2:$M$1000,1),1))</f>
        <v/>
      </c>
      <c r="O38" s="8" t="n">
        <v>5</v>
      </c>
      <c r="P38" s="8" t="n">
        <v>3</v>
      </c>
      <c r="Q38" s="5" t="s">
        <v>159</v>
      </c>
      <c r="R38" s="5" t="s">
        <v>151</v>
      </c>
      <c r="S38" s="11" t="str">
        <f aca="false">IFERROR(INDEX('Clinical Sources'!$M$2:$M$1000,MATCH($A38&amp;"|Annual deaths",'Clinical Sources'!$N$2:$N$1000,0)),"")</f>
        <v/>
      </c>
      <c r="T38" s="11" t="str">
        <f aca="false">IFERROR(INDEX('Clinical Sources'!$M$2:$M$1000,MATCH($A38&amp;"|Case-fatality rate",'Clinical Sources'!$N$2:$N$1000,0)),"")</f>
        <v/>
      </c>
      <c r="U38" s="9" t="s">
        <v>321</v>
      </c>
      <c r="V38" s="22"/>
      <c r="W38" s="22" t="s">
        <v>153</v>
      </c>
      <c r="X38" s="22"/>
      <c r="Y38" s="22"/>
      <c r="Z38" s="22"/>
      <c r="AA38" s="22"/>
      <c r="AB38" s="22"/>
      <c r="AC38" s="22"/>
      <c r="AD38" s="13" t="s">
        <v>154</v>
      </c>
      <c r="AE38" s="9" t="s">
        <v>322</v>
      </c>
    </row>
    <row r="39" customFormat="false" ht="14.25" hidden="false" customHeight="true" outlineLevel="0" collapsed="false">
      <c r="A39" s="4" t="s">
        <v>71</v>
      </c>
      <c r="B39" s="5" t="s">
        <v>323</v>
      </c>
      <c r="C39" s="9"/>
      <c r="D39" s="5" t="s">
        <v>148</v>
      </c>
      <c r="E39" s="5" t="s">
        <v>230</v>
      </c>
      <c r="F39" s="11" t="str">
        <f aca="false">IF(COUNTIF(V39:AC39,"Y")=0,"",UPPER(MID(IF(V39="Y","/neurotoxic","")&amp;IF(W39="Y","/hemotoxic","")&amp;IF(X39="Y","/procoagulant","")&amp;IF(Y39="Y","/anticoagulant","")&amp;IF(Z39="Y","/hemorrhagic","")&amp;IF(AA39="Y","/cytotoxic","")&amp;IF(AB39="Y","/myotoxic","")&amp;IF(AC39="Y","/cardiotoxic",""),2,1))&amp;MID(IF(V39="Y","/neurotoxic","")&amp;IF(W39="Y","/hemotoxic","")&amp;IF(X39="Y","/procoagulant","")&amp;IF(Y39="Y","/anticoagulant","")&amp;IF(Z39="Y","/hemorrhagic","")&amp;IF(AA39="Y","/cytotoxic","")&amp;IF(AB39="Y","/myotoxic","")&amp;IF(AC39="Y","/cardiotoxic",""),3,200))</f>
        <v>Hemotoxic</v>
      </c>
      <c r="G39" s="19" t="n">
        <f aca="false">IFERROR(INDEX('LD50 Sources'!$C$2:$C$1000,MATCH($A39,'LD50 Sources'!$L$2:$L$1000,0)),"")</f>
        <v>1.1</v>
      </c>
      <c r="H39" s="11" t="str">
        <f aca="false">IFERROR(INDEX('LD50 Sources'!$D$2:$D$1000,MATCH($A39,'LD50 Sources'!$L$2:$L$1000,0))&amp;"","")</f>
        <v>SC</v>
      </c>
      <c r="I39" s="11" t="str">
        <f aca="false">IFERROR(INDEX('LD50 Sources'!$H$2:$H$1000,MATCH($A39,'LD50 Sources'!$L$2:$L$1000,0))&amp;"","")</f>
        <v>C</v>
      </c>
      <c r="J39" s="20" t="str">
        <f aca="false">IF(COUNTIFS('LD50 Sources'!$A$2:$A$1000,$A39,'LD50 Sources'!$K$2:$K$1000,1)&lt;2,"",ROUND(_xlfn.MAXIFS('LD50 Sources'!$C$2:$C$1000,'LD50 Sources'!$A$2:$A$1000,$A39,'LD50 Sources'!$K$2:$K$1000,1)/_xlfn.MINIFS('LD50 Sources'!$C$2:$C$1000,'LD50 Sources'!$A$2:$A$1000,$A39,'LD50 Sources'!$K$2:$K$1000,1),1))</f>
        <v/>
      </c>
      <c r="K39" s="21" t="n">
        <f aca="false">IFERROR(INDEX('Yield Sources'!$C$2:$C$1000,MATCH($A39,'Yield Sources'!$N$2:$N$1000,0)),"")</f>
        <v>40</v>
      </c>
      <c r="L39" s="21" t="n">
        <f aca="false">IFERROR(INDEX('Yield Sources'!$D$2:$D$1000,MATCH($A39,'Yield Sources'!$N$2:$N$1000,0)),"")</f>
        <v>70</v>
      </c>
      <c r="M39" s="11" t="str">
        <f aca="false">IFERROR(INDEX('Yield Sources'!$J$2:$J$1000,MATCH($A39,'Yield Sources'!$N$2:$N$1000,0))&amp;"","")</f>
        <v>C</v>
      </c>
      <c r="N39" s="20" t="n">
        <f aca="false">IF(COUNTIFS('Yield Sources'!$A$2:$A$1000,$A39,'Yield Sources'!$M$2:$M$1000,1)&lt;2,"",ROUND(_xlfn.MAXIFS('Yield Sources'!$D$2:$D$1000,'Yield Sources'!$A$2:$A$1000,$A39,'Yield Sources'!$M$2:$M$1000,1)/_xlfn.MINIFS('Yield Sources'!$D$2:$D$1000,'Yield Sources'!$A$2:$A$1000,$A39,'Yield Sources'!$M$2:$M$1000,1),1))</f>
        <v>4.3</v>
      </c>
      <c r="O39" s="8" t="n">
        <v>8</v>
      </c>
      <c r="P39" s="8" t="n">
        <v>4</v>
      </c>
      <c r="Q39" s="5" t="s">
        <v>150</v>
      </c>
      <c r="R39" s="5" t="s">
        <v>160</v>
      </c>
      <c r="S39" s="11" t="str">
        <f aca="false">IFERROR(INDEX('Clinical Sources'!$M$2:$M$1000,MATCH($A39&amp;"|Annual deaths",'Clinical Sources'!$N$2:$N$1000,0)),"")</f>
        <v/>
      </c>
      <c r="T39" s="11" t="str">
        <f aca="false">IFERROR(INDEX('Clinical Sources'!$M$2:$M$1000,MATCH($A39&amp;"|Case-fatality rate",'Clinical Sources'!$N$2:$N$1000,0)),"")</f>
        <v/>
      </c>
      <c r="U39" s="9" t="s">
        <v>324</v>
      </c>
      <c r="V39" s="22"/>
      <c r="W39" s="22" t="s">
        <v>153</v>
      </c>
      <c r="X39" s="22"/>
      <c r="Y39" s="22"/>
      <c r="Z39" s="22"/>
      <c r="AA39" s="22"/>
      <c r="AB39" s="22"/>
      <c r="AC39" s="22"/>
      <c r="AD39" s="13" t="s">
        <v>154</v>
      </c>
      <c r="AE39" s="9" t="s">
        <v>325</v>
      </c>
    </row>
    <row r="40" customFormat="false" ht="26.25" hidden="false" customHeight="true" outlineLevel="0" collapsed="false">
      <c r="A40" s="4" t="s">
        <v>63</v>
      </c>
      <c r="B40" s="5" t="s">
        <v>326</v>
      </c>
      <c r="C40" s="9" t="s">
        <v>327</v>
      </c>
      <c r="D40" s="5" t="s">
        <v>165</v>
      </c>
      <c r="E40" s="5" t="s">
        <v>328</v>
      </c>
      <c r="F40" s="11" t="str">
        <f aca="false">IF(COUNTIF(V40:AC40,"Y")=0,"",UPPER(MID(IF(V40="Y","/neurotoxic","")&amp;IF(W40="Y","/hemotoxic","")&amp;IF(X40="Y","/procoagulant","")&amp;IF(Y40="Y","/anticoagulant","")&amp;IF(Z40="Y","/hemorrhagic","")&amp;IF(AA40="Y","/cytotoxic","")&amp;IF(AB40="Y","/myotoxic","")&amp;IF(AC40="Y","/cardiotoxic",""),2,1))&amp;MID(IF(V40="Y","/neurotoxic","")&amp;IF(W40="Y","/hemotoxic","")&amp;IF(X40="Y","/procoagulant","")&amp;IF(Y40="Y","/anticoagulant","")&amp;IF(Z40="Y","/hemorrhagic","")&amp;IF(AA40="Y","/cytotoxic","")&amp;IF(AB40="Y","/myotoxic","")&amp;IF(AC40="Y","/cardiotoxic",""),3,200))</f>
        <v>Neurotoxic</v>
      </c>
      <c r="G40" s="19" t="n">
        <f aca="false">IFERROR(INDEX('LD50 Sources'!$C$2:$C$1000,MATCH($A40,'LD50 Sources'!$L$2:$L$1000,0)),"")</f>
        <v>0.07</v>
      </c>
      <c r="H40" s="11" t="str">
        <f aca="false">IFERROR(INDEX('LD50 Sources'!$D$2:$D$1000,MATCH($A40,'LD50 Sources'!$L$2:$L$1000,0))&amp;"","")</f>
        <v>SC</v>
      </c>
      <c r="I40" s="11" t="str">
        <f aca="false">IFERROR(INDEX('LD50 Sources'!$H$2:$H$1000,MATCH($A40,'LD50 Sources'!$L$2:$L$1000,0))&amp;"","")</f>
        <v>C</v>
      </c>
      <c r="J40" s="20" t="str">
        <f aca="false">IF(COUNTIFS('LD50 Sources'!$A$2:$A$1000,$A40,'LD50 Sources'!$K$2:$K$1000,1)&lt;2,"",ROUND(_xlfn.MAXIFS('LD50 Sources'!$C$2:$C$1000,'LD50 Sources'!$A$2:$A$1000,$A40,'LD50 Sources'!$K$2:$K$1000,1)/_xlfn.MINIFS('LD50 Sources'!$C$2:$C$1000,'LD50 Sources'!$A$2:$A$1000,$A40,'LD50 Sources'!$K$2:$K$1000,1),1))</f>
        <v/>
      </c>
      <c r="K40" s="21" t="n">
        <f aca="false">IFERROR(INDEX('Yield Sources'!$C$2:$C$1000,MATCH($A40,'Yield Sources'!$N$2:$N$1000,0)),"")</f>
        <v>1</v>
      </c>
      <c r="L40" s="21" t="n">
        <f aca="false">IFERROR(INDEX('Yield Sources'!$D$2:$D$1000,MATCH($A40,'Yield Sources'!$N$2:$N$1000,0)),"")</f>
        <v>4</v>
      </c>
      <c r="M40" s="11" t="str">
        <f aca="false">IFERROR(INDEX('Yield Sources'!$J$2:$J$1000,MATCH($A40,'Yield Sources'!$N$2:$N$1000,0))&amp;"","")</f>
        <v>C</v>
      </c>
      <c r="N40" s="20" t="str">
        <f aca="false">IF(COUNTIFS('Yield Sources'!$A$2:$A$1000,$A40,'Yield Sources'!$M$2:$M$1000,1)&lt;2,"",ROUND(_xlfn.MAXIFS('Yield Sources'!$D$2:$D$1000,'Yield Sources'!$A$2:$A$1000,$A40,'Yield Sources'!$M$2:$M$1000,1)/_xlfn.MINIFS('Yield Sources'!$D$2:$D$1000,'Yield Sources'!$A$2:$A$1000,$A40,'Yield Sources'!$M$2:$M$1000,1),1))</f>
        <v/>
      </c>
      <c r="O40" s="8" t="n">
        <v>1</v>
      </c>
      <c r="P40" s="8" t="n">
        <v>1</v>
      </c>
      <c r="Q40" s="5" t="s">
        <v>173</v>
      </c>
      <c r="R40" s="5" t="s">
        <v>174</v>
      </c>
      <c r="S40" s="11" t="str">
        <f aca="false">IFERROR(INDEX('Clinical Sources'!$M$2:$M$1000,MATCH($A40&amp;"|Annual deaths",'Clinical Sources'!$N$2:$N$1000,0)),"")</f>
        <v/>
      </c>
      <c r="T40" s="11" t="str">
        <f aca="false">IFERROR(INDEX('Clinical Sources'!$M$2:$M$1000,MATCH($A40&amp;"|Case-fatality rate",'Clinical Sources'!$N$2:$N$1000,0)),"")</f>
        <v/>
      </c>
      <c r="U40" s="9" t="s">
        <v>329</v>
      </c>
      <c r="V40" s="22" t="s">
        <v>153</v>
      </c>
      <c r="W40" s="22"/>
      <c r="X40" s="22"/>
      <c r="Y40" s="22"/>
      <c r="Z40" s="22"/>
      <c r="AA40" s="22"/>
      <c r="AB40" s="22"/>
      <c r="AC40" s="22"/>
      <c r="AD40" s="13" t="s">
        <v>154</v>
      </c>
      <c r="AE40" s="9" t="s">
        <v>330</v>
      </c>
    </row>
    <row r="41" customFormat="false" ht="14.25" hidden="false" customHeight="true" outlineLevel="0" collapsed="false">
      <c r="A41" s="4" t="s">
        <v>74</v>
      </c>
      <c r="B41" s="5" t="s">
        <v>331</v>
      </c>
      <c r="C41" s="9"/>
      <c r="D41" s="5" t="s">
        <v>148</v>
      </c>
      <c r="E41" s="5" t="s">
        <v>332</v>
      </c>
      <c r="F41" s="11" t="str">
        <f aca="false">IF(COUNTIF(V41:AC41,"Y")=0,"",UPPER(MID(IF(V41="Y","/neurotoxic","")&amp;IF(W41="Y","/hemotoxic","")&amp;IF(X41="Y","/procoagulant","")&amp;IF(Y41="Y","/anticoagulant","")&amp;IF(Z41="Y","/hemorrhagic","")&amp;IF(AA41="Y","/cytotoxic","")&amp;IF(AB41="Y","/myotoxic","")&amp;IF(AC41="Y","/cardiotoxic",""),2,1))&amp;MID(IF(V41="Y","/neurotoxic","")&amp;IF(W41="Y","/hemotoxic","")&amp;IF(X41="Y","/procoagulant","")&amp;IF(Y41="Y","/anticoagulant","")&amp;IF(Z41="Y","/hemorrhagic","")&amp;IF(AA41="Y","/cytotoxic","")&amp;IF(AB41="Y","/myotoxic","")&amp;IF(AC41="Y","/cardiotoxic",""),3,200))</f>
        <v>Hemotoxic</v>
      </c>
      <c r="G41" s="19" t="n">
        <f aca="false">IFERROR(INDEX('LD50 Sources'!$C$2:$C$1000,MATCH($A41,'LD50 Sources'!$L$2:$L$1000,0)),"")</f>
        <v>1.33</v>
      </c>
      <c r="H41" s="11" t="str">
        <f aca="false">IFERROR(INDEX('LD50 Sources'!$D$2:$D$1000,MATCH($A41,'LD50 Sources'!$L$2:$L$1000,0))&amp;"","")</f>
        <v>SC</v>
      </c>
      <c r="I41" s="11" t="str">
        <f aca="false">IFERROR(INDEX('LD50 Sources'!$H$2:$H$1000,MATCH($A41,'LD50 Sources'!$L$2:$L$1000,0))&amp;"","")</f>
        <v>C</v>
      </c>
      <c r="J41" s="20" t="str">
        <f aca="false">IF(COUNTIFS('LD50 Sources'!$A$2:$A$1000,$A41,'LD50 Sources'!$K$2:$K$1000,1)&lt;2,"",ROUND(_xlfn.MAXIFS('LD50 Sources'!$C$2:$C$1000,'LD50 Sources'!$A$2:$A$1000,$A41,'LD50 Sources'!$K$2:$K$1000,1)/_xlfn.MINIFS('LD50 Sources'!$C$2:$C$1000,'LD50 Sources'!$A$2:$A$1000,$A41,'LD50 Sources'!$K$2:$K$1000,1),1))</f>
        <v/>
      </c>
      <c r="K41" s="21" t="n">
        <f aca="false">IFERROR(INDEX('Yield Sources'!$C$2:$C$1000,MATCH($A41,'Yield Sources'!$N$2:$N$1000,0)),"")</f>
        <v>5</v>
      </c>
      <c r="L41" s="21" t="n">
        <f aca="false">IFERROR(INDEX('Yield Sources'!$D$2:$D$1000,MATCH($A41,'Yield Sources'!$N$2:$N$1000,0)),"")</f>
        <v>70</v>
      </c>
      <c r="M41" s="11" t="str">
        <f aca="false">IFERROR(INDEX('Yield Sources'!$J$2:$J$1000,MATCH($A41,'Yield Sources'!$N$2:$N$1000,0))&amp;"","")</f>
        <v>C</v>
      </c>
      <c r="N41" s="20" t="str">
        <f aca="false">IF(COUNTIFS('Yield Sources'!$A$2:$A$1000,$A41,'Yield Sources'!$M$2:$M$1000,1)&lt;2,"",ROUND(_xlfn.MAXIFS('Yield Sources'!$D$2:$D$1000,'Yield Sources'!$A$2:$A$1000,$A41,'Yield Sources'!$M$2:$M$1000,1)/_xlfn.MINIFS('Yield Sources'!$D$2:$D$1000,'Yield Sources'!$A$2:$A$1000,$A41,'Yield Sources'!$M$2:$M$1000,1),1))</f>
        <v/>
      </c>
      <c r="O41" s="8" t="n">
        <v>3</v>
      </c>
      <c r="P41" s="8" t="n">
        <v>2</v>
      </c>
      <c r="Q41" s="5" t="s">
        <v>159</v>
      </c>
      <c r="R41" s="5" t="s">
        <v>160</v>
      </c>
      <c r="S41" s="11" t="str">
        <f aca="false">IFERROR(INDEX('Clinical Sources'!$M$2:$M$1000,MATCH($A41&amp;"|Annual deaths",'Clinical Sources'!$N$2:$N$1000,0)),"")</f>
        <v/>
      </c>
      <c r="T41" s="11" t="str">
        <f aca="false">IFERROR(INDEX('Clinical Sources'!$M$2:$M$1000,MATCH($A41&amp;"|Case-fatality rate",'Clinical Sources'!$N$2:$N$1000,0)),"")</f>
        <v/>
      </c>
      <c r="U41" s="9" t="s">
        <v>333</v>
      </c>
      <c r="V41" s="22"/>
      <c r="W41" s="22" t="s">
        <v>153</v>
      </c>
      <c r="X41" s="22"/>
      <c r="Y41" s="22"/>
      <c r="Z41" s="22"/>
      <c r="AA41" s="22"/>
      <c r="AB41" s="22"/>
      <c r="AC41" s="22"/>
      <c r="AD41" s="13" t="s">
        <v>154</v>
      </c>
      <c r="AE41" s="9" t="s">
        <v>334</v>
      </c>
    </row>
    <row r="42" customFormat="false" ht="14.25" hidden="false" customHeight="true" outlineLevel="0" collapsed="false">
      <c r="A42" s="4" t="s">
        <v>77</v>
      </c>
      <c r="B42" s="5" t="s">
        <v>335</v>
      </c>
      <c r="C42" s="9" t="s">
        <v>336</v>
      </c>
      <c r="D42" s="5" t="s">
        <v>148</v>
      </c>
      <c r="E42" s="5" t="s">
        <v>230</v>
      </c>
      <c r="F42" s="11" t="str">
        <f aca="false">IF(COUNTIF(V42:AC42,"Y")=0,"",UPPER(MID(IF(V42="Y","/neurotoxic","")&amp;IF(W42="Y","/hemotoxic","")&amp;IF(X42="Y","/procoagulant","")&amp;IF(Y42="Y","/anticoagulant","")&amp;IF(Z42="Y","/hemorrhagic","")&amp;IF(AA42="Y","/cytotoxic","")&amp;IF(AB42="Y","/myotoxic","")&amp;IF(AC42="Y","/cardiotoxic",""),2,1))&amp;MID(IF(V42="Y","/neurotoxic","")&amp;IF(W42="Y","/hemotoxic","")&amp;IF(X42="Y","/procoagulant","")&amp;IF(Y42="Y","/anticoagulant","")&amp;IF(Z42="Y","/hemorrhagic","")&amp;IF(AA42="Y","/cytotoxic","")&amp;IF(AB42="Y","/myotoxic","")&amp;IF(AC42="Y","/cardiotoxic",""),3,200))</f>
        <v>Hemotoxic</v>
      </c>
      <c r="G42" s="19" t="n">
        <f aca="false">IFERROR(INDEX('LD50 Sources'!$C$2:$C$1000,MATCH($A42,'LD50 Sources'!$L$2:$L$1000,0)),"")</f>
        <v>2</v>
      </c>
      <c r="H42" s="11" t="str">
        <f aca="false">IFERROR(INDEX('LD50 Sources'!$D$2:$D$1000,MATCH($A42,'LD50 Sources'!$L$2:$L$1000,0))&amp;"","")</f>
        <v>SC</v>
      </c>
      <c r="I42" s="11" t="str">
        <f aca="false">IFERROR(INDEX('LD50 Sources'!$H$2:$H$1000,MATCH($A42,'LD50 Sources'!$L$2:$L$1000,0))&amp;"","")</f>
        <v>C</v>
      </c>
      <c r="J42" s="20" t="str">
        <f aca="false">IF(COUNTIFS('LD50 Sources'!$A$2:$A$1000,$A42,'LD50 Sources'!$K$2:$K$1000,1)&lt;2,"",ROUND(_xlfn.MAXIFS('LD50 Sources'!$C$2:$C$1000,'LD50 Sources'!$A$2:$A$1000,$A42,'LD50 Sources'!$K$2:$K$1000,1)/_xlfn.MINIFS('LD50 Sources'!$C$2:$C$1000,'LD50 Sources'!$A$2:$A$1000,$A42,'LD50 Sources'!$K$2:$K$1000,1),1))</f>
        <v/>
      </c>
      <c r="K42" s="21" t="n">
        <f aca="false">IFERROR(INDEX('Yield Sources'!$C$2:$C$1000,MATCH($A42,'Yield Sources'!$N$2:$N$1000,0)),"")</f>
        <v>60</v>
      </c>
      <c r="L42" s="21" t="n">
        <f aca="false">IFERROR(INDEX('Yield Sources'!$D$2:$D$1000,MATCH($A42,'Yield Sources'!$N$2:$N$1000,0)),"")</f>
        <v>100</v>
      </c>
      <c r="M42" s="11" t="str">
        <f aca="false">IFERROR(INDEX('Yield Sources'!$J$2:$J$1000,MATCH($A42,'Yield Sources'!$N$2:$N$1000,0))&amp;"","")</f>
        <v>C</v>
      </c>
      <c r="N42" s="20" t="str">
        <f aca="false">IF(COUNTIFS('Yield Sources'!$A$2:$A$1000,$A42,'Yield Sources'!$M$2:$M$1000,1)&lt;2,"",ROUND(_xlfn.MAXIFS('Yield Sources'!$D$2:$D$1000,'Yield Sources'!$A$2:$A$1000,$A42,'Yield Sources'!$M$2:$M$1000,1)/_xlfn.MINIFS('Yield Sources'!$D$2:$D$1000,'Yield Sources'!$A$2:$A$1000,$A42,'Yield Sources'!$M$2:$M$1000,1),1))</f>
        <v/>
      </c>
      <c r="O42" s="8" t="n">
        <v>6</v>
      </c>
      <c r="P42" s="8" t="n">
        <v>3</v>
      </c>
      <c r="Q42" s="5" t="s">
        <v>159</v>
      </c>
      <c r="R42" s="5" t="s">
        <v>160</v>
      </c>
      <c r="S42" s="11" t="str">
        <f aca="false">IFERROR(INDEX('Clinical Sources'!$M$2:$M$1000,MATCH($A42&amp;"|Annual deaths",'Clinical Sources'!$N$2:$N$1000,0)),"")</f>
        <v/>
      </c>
      <c r="T42" s="11" t="str">
        <f aca="false">IFERROR(INDEX('Clinical Sources'!$M$2:$M$1000,MATCH($A42&amp;"|Case-fatality rate",'Clinical Sources'!$N$2:$N$1000,0)),"")</f>
        <v/>
      </c>
      <c r="U42" s="9" t="s">
        <v>337</v>
      </c>
      <c r="V42" s="22"/>
      <c r="W42" s="22" t="s">
        <v>153</v>
      </c>
      <c r="X42" s="22"/>
      <c r="Y42" s="22"/>
      <c r="Z42" s="22"/>
      <c r="AA42" s="22"/>
      <c r="AB42" s="22"/>
      <c r="AC42" s="22"/>
      <c r="AD42" s="13" t="s">
        <v>154</v>
      </c>
      <c r="AE42" s="9" t="s">
        <v>338</v>
      </c>
    </row>
    <row r="43" customFormat="false" ht="26.25" hidden="false" customHeight="true" outlineLevel="0" collapsed="false">
      <c r="A43" s="4" t="s">
        <v>75</v>
      </c>
      <c r="B43" s="5" t="s">
        <v>339</v>
      </c>
      <c r="C43" s="9"/>
      <c r="D43" s="5" t="s">
        <v>148</v>
      </c>
      <c r="E43" s="5" t="s">
        <v>295</v>
      </c>
      <c r="F43" s="11" t="str">
        <f aca="false">IF(COUNTIF(V43:AC43,"Y")=0,"",UPPER(MID(IF(V43="Y","/neurotoxic","")&amp;IF(W43="Y","/hemotoxic","")&amp;IF(X43="Y","/procoagulant","")&amp;IF(Y43="Y","/anticoagulant","")&amp;IF(Z43="Y","/hemorrhagic","")&amp;IF(AA43="Y","/cytotoxic","")&amp;IF(AB43="Y","/myotoxic","")&amp;IF(AC43="Y","/cardiotoxic",""),2,1))&amp;MID(IF(V43="Y","/neurotoxic","")&amp;IF(W43="Y","/hemotoxic","")&amp;IF(X43="Y","/procoagulant","")&amp;IF(Y43="Y","/anticoagulant","")&amp;IF(Z43="Y","/hemorrhagic","")&amp;IF(AA43="Y","/cytotoxic","")&amp;IF(AB43="Y","/myotoxic","")&amp;IF(AC43="Y","/cardiotoxic",""),3,200))</f>
        <v>Hemotoxic</v>
      </c>
      <c r="G43" s="19" t="n">
        <f aca="false">IFERROR(INDEX('LD50 Sources'!$C$2:$C$1000,MATCH($A43,'LD50 Sources'!$L$2:$L$1000,0)),"")</f>
        <v>1.24</v>
      </c>
      <c r="H43" s="11" t="str">
        <f aca="false">IFERROR(INDEX('LD50 Sources'!$D$2:$D$1000,MATCH($A43,'LD50 Sources'!$L$2:$L$1000,0))&amp;"","")</f>
        <v>SC</v>
      </c>
      <c r="I43" s="11" t="str">
        <f aca="false">IFERROR(INDEX('LD50 Sources'!$H$2:$H$1000,MATCH($A43,'LD50 Sources'!$L$2:$L$1000,0))&amp;"","")</f>
        <v>C</v>
      </c>
      <c r="J43" s="20" t="str">
        <f aca="false">IF(COUNTIFS('LD50 Sources'!$A$2:$A$1000,$A43,'LD50 Sources'!$K$2:$K$1000,1)&lt;2,"",ROUND(_xlfn.MAXIFS('LD50 Sources'!$C$2:$C$1000,'LD50 Sources'!$A$2:$A$1000,$A43,'LD50 Sources'!$K$2:$K$1000,1)/_xlfn.MINIFS('LD50 Sources'!$C$2:$C$1000,'LD50 Sources'!$A$2:$A$1000,$A43,'LD50 Sources'!$K$2:$K$1000,1),1))</f>
        <v/>
      </c>
      <c r="K43" s="21" t="n">
        <f aca="false">IFERROR(INDEX('Yield Sources'!$C$2:$C$1000,MATCH($A43,'Yield Sources'!$N$2:$N$1000,0)),"")</f>
        <v>40</v>
      </c>
      <c r="L43" s="21" t="n">
        <f aca="false">IFERROR(INDEX('Yield Sources'!$D$2:$D$1000,MATCH($A43,'Yield Sources'!$N$2:$N$1000,0)),"")</f>
        <v>60</v>
      </c>
      <c r="M43" s="11" t="str">
        <f aca="false">IFERROR(INDEX('Yield Sources'!$J$2:$J$1000,MATCH($A43,'Yield Sources'!$N$2:$N$1000,0))&amp;"","")</f>
        <v>C</v>
      </c>
      <c r="N43" s="20" t="str">
        <f aca="false">IF(COUNTIFS('Yield Sources'!$A$2:$A$1000,$A43,'Yield Sources'!$M$2:$M$1000,1)&lt;2,"",ROUND(_xlfn.MAXIFS('Yield Sources'!$D$2:$D$1000,'Yield Sources'!$A$2:$A$1000,$A43,'Yield Sources'!$M$2:$M$1000,1)/_xlfn.MINIFS('Yield Sources'!$D$2:$D$1000,'Yield Sources'!$A$2:$A$1000,$A43,'Yield Sources'!$M$2:$M$1000,1),1))</f>
        <v/>
      </c>
      <c r="O43" s="8" t="n">
        <v>6</v>
      </c>
      <c r="P43" s="8" t="n">
        <v>4</v>
      </c>
      <c r="Q43" s="5" t="s">
        <v>159</v>
      </c>
      <c r="R43" s="5" t="s">
        <v>160</v>
      </c>
      <c r="S43" s="11" t="str">
        <f aca="false">IFERROR(INDEX('Clinical Sources'!$M$2:$M$1000,MATCH($A43&amp;"|Annual deaths",'Clinical Sources'!$N$2:$N$1000,0)),"")</f>
        <v/>
      </c>
      <c r="T43" s="11" t="str">
        <f aca="false">IFERROR(INDEX('Clinical Sources'!$M$2:$M$1000,MATCH($A43&amp;"|Case-fatality rate",'Clinical Sources'!$N$2:$N$1000,0)),"")</f>
        <v/>
      </c>
      <c r="U43" s="9" t="s">
        <v>340</v>
      </c>
      <c r="V43" s="22"/>
      <c r="W43" s="22" t="s">
        <v>153</v>
      </c>
      <c r="X43" s="22"/>
      <c r="Y43" s="22"/>
      <c r="Z43" s="22"/>
      <c r="AA43" s="22"/>
      <c r="AB43" s="22"/>
      <c r="AC43" s="22"/>
      <c r="AD43" s="13" t="s">
        <v>154</v>
      </c>
      <c r="AE43" s="9" t="s">
        <v>341</v>
      </c>
    </row>
    <row r="44" customFormat="false" ht="14.25" hidden="false" customHeight="true" outlineLevel="0" collapsed="false">
      <c r="A44" s="4" t="s">
        <v>72</v>
      </c>
      <c r="B44" s="5" t="s">
        <v>342</v>
      </c>
      <c r="C44" s="9"/>
      <c r="D44" s="5" t="s">
        <v>165</v>
      </c>
      <c r="E44" s="5" t="s">
        <v>230</v>
      </c>
      <c r="F44" s="11" t="str">
        <f aca="false">IF(COUNTIF(V44:AC44,"Y")=0,"",UPPER(MID(IF(V44="Y","/neurotoxic","")&amp;IF(W44="Y","/hemotoxic","")&amp;IF(X44="Y","/procoagulant","")&amp;IF(Y44="Y","/anticoagulant","")&amp;IF(Z44="Y","/hemorrhagic","")&amp;IF(AA44="Y","/cytotoxic","")&amp;IF(AB44="Y","/myotoxic","")&amp;IF(AC44="Y","/cardiotoxic",""),2,1))&amp;MID(IF(V44="Y","/neurotoxic","")&amp;IF(W44="Y","/hemotoxic","")&amp;IF(X44="Y","/procoagulant","")&amp;IF(Y44="Y","/anticoagulant","")&amp;IF(Z44="Y","/hemorrhagic","")&amp;IF(AA44="Y","/cytotoxic","")&amp;IF(AB44="Y","/myotoxic","")&amp;IF(AC44="Y","/cardiotoxic",""),3,200))</f>
        <v>Neurotoxic</v>
      </c>
      <c r="G44" s="19" t="n">
        <f aca="false">IFERROR(INDEX('LD50 Sources'!$C$2:$C$1000,MATCH($A44,'LD50 Sources'!$L$2:$L$1000,0)),"")</f>
        <v>0.63</v>
      </c>
      <c r="H44" s="11" t="str">
        <f aca="false">IFERROR(INDEX('LD50 Sources'!$D$2:$D$1000,MATCH($A44,'LD50 Sources'!$L$2:$L$1000,0))&amp;"","")</f>
        <v>SC</v>
      </c>
      <c r="I44" s="11" t="str">
        <f aca="false">IFERROR(INDEX('LD50 Sources'!$H$2:$H$1000,MATCH($A44,'LD50 Sources'!$L$2:$L$1000,0))&amp;"","")</f>
        <v>C</v>
      </c>
      <c r="J44" s="20" t="str">
        <f aca="false">IF(COUNTIFS('LD50 Sources'!$A$2:$A$1000,$A44,'LD50 Sources'!$K$2:$K$1000,1)&lt;2,"",ROUND(_xlfn.MAXIFS('LD50 Sources'!$C$2:$C$1000,'LD50 Sources'!$A$2:$A$1000,$A44,'LD50 Sources'!$K$2:$K$1000,1)/_xlfn.MINIFS('LD50 Sources'!$C$2:$C$1000,'LD50 Sources'!$A$2:$A$1000,$A44,'LD50 Sources'!$K$2:$K$1000,1),1))</f>
        <v/>
      </c>
      <c r="K44" s="21" t="n">
        <f aca="false">IFERROR(INDEX('Yield Sources'!$C$2:$C$1000,MATCH($A44,'Yield Sources'!$N$2:$N$1000,0)),"")</f>
        <v>20</v>
      </c>
      <c r="L44" s="21" t="n">
        <f aca="false">IFERROR(INDEX('Yield Sources'!$D$2:$D$1000,MATCH($A44,'Yield Sources'!$N$2:$N$1000,0)),"")</f>
        <v>30</v>
      </c>
      <c r="M44" s="11" t="str">
        <f aca="false">IFERROR(INDEX('Yield Sources'!$J$2:$J$1000,MATCH($A44,'Yield Sources'!$N$2:$N$1000,0))&amp;"","")</f>
        <v>C</v>
      </c>
      <c r="N44" s="20" t="str">
        <f aca="false">IF(COUNTIFS('Yield Sources'!$A$2:$A$1000,$A44,'Yield Sources'!$M$2:$M$1000,1)&lt;2,"",ROUND(_xlfn.MAXIFS('Yield Sources'!$D$2:$D$1000,'Yield Sources'!$A$2:$A$1000,$A44,'Yield Sources'!$M$2:$M$1000,1)/_xlfn.MINIFS('Yield Sources'!$D$2:$D$1000,'Yield Sources'!$A$2:$A$1000,$A44,'Yield Sources'!$M$2:$M$1000,1),1))</f>
        <v/>
      </c>
      <c r="O44" s="8" t="n">
        <v>3</v>
      </c>
      <c r="P44" s="8" t="n">
        <v>2</v>
      </c>
      <c r="Q44" s="5" t="s">
        <v>173</v>
      </c>
      <c r="R44" s="5" t="s">
        <v>174</v>
      </c>
      <c r="S44" s="11" t="str">
        <f aca="false">IFERROR(INDEX('Clinical Sources'!$M$2:$M$1000,MATCH($A44&amp;"|Annual deaths",'Clinical Sources'!$N$2:$N$1000,0)),"")</f>
        <v/>
      </c>
      <c r="T44" s="11" t="str">
        <f aca="false">IFERROR(INDEX('Clinical Sources'!$M$2:$M$1000,MATCH($A44&amp;"|Case-fatality rate",'Clinical Sources'!$N$2:$N$1000,0)),"")</f>
        <v/>
      </c>
      <c r="U44" s="9" t="s">
        <v>343</v>
      </c>
      <c r="V44" s="22" t="s">
        <v>153</v>
      </c>
      <c r="W44" s="22"/>
      <c r="X44" s="22"/>
      <c r="Y44" s="22"/>
      <c r="Z44" s="22"/>
      <c r="AA44" s="22"/>
      <c r="AB44" s="22"/>
      <c r="AC44" s="22"/>
      <c r="AD44" s="13" t="s">
        <v>154</v>
      </c>
      <c r="AE44" s="9" t="s">
        <v>344</v>
      </c>
    </row>
    <row r="45" customFormat="false" ht="26.25" hidden="false" customHeight="true" outlineLevel="0" collapsed="false">
      <c r="A45" s="4" t="s">
        <v>78</v>
      </c>
      <c r="B45" s="5" t="s">
        <v>345</v>
      </c>
      <c r="C45" s="9" t="s">
        <v>346</v>
      </c>
      <c r="D45" s="5" t="s">
        <v>165</v>
      </c>
      <c r="E45" s="5" t="s">
        <v>221</v>
      </c>
      <c r="F45" s="11" t="str">
        <f aca="false">IF(COUNTIF(V45:AC45,"Y")=0,"",UPPER(MID(IF(V45="Y","/neurotoxic","")&amp;IF(W45="Y","/hemotoxic","")&amp;IF(X45="Y","/procoagulant","")&amp;IF(Y45="Y","/anticoagulant","")&amp;IF(Z45="Y","/hemorrhagic","")&amp;IF(AA45="Y","/cytotoxic","")&amp;IF(AB45="Y","/myotoxic","")&amp;IF(AC45="Y","/cardiotoxic",""),2,1))&amp;MID(IF(V45="Y","/neurotoxic","")&amp;IF(W45="Y","/hemotoxic","")&amp;IF(X45="Y","/procoagulant","")&amp;IF(Y45="Y","/anticoagulant","")&amp;IF(Z45="Y","/hemorrhagic","")&amp;IF(AA45="Y","/cytotoxic","")&amp;IF(AB45="Y","/myotoxic","")&amp;IF(AC45="Y","/cardiotoxic",""),3,200))</f>
        <v>Neurotoxic</v>
      </c>
      <c r="G45" s="19" t="n">
        <f aca="false">IFERROR(INDEX('LD50 Sources'!$C$2:$C$1000,MATCH($A45,'LD50 Sources'!$L$2:$L$1000,0)),"")</f>
        <v>0.2</v>
      </c>
      <c r="H45" s="11" t="str">
        <f aca="false">IFERROR(INDEX('LD50 Sources'!$D$2:$D$1000,MATCH($A45,'LD50 Sources'!$L$2:$L$1000,0))&amp;"","")</f>
        <v>SC</v>
      </c>
      <c r="I45" s="11" t="str">
        <f aca="false">IFERROR(INDEX('LD50 Sources'!$H$2:$H$1000,MATCH($A45,'LD50 Sources'!$L$2:$L$1000,0))&amp;"","")</f>
        <v>C</v>
      </c>
      <c r="J45" s="20" t="str">
        <f aca="false">IF(COUNTIFS('LD50 Sources'!$A$2:$A$1000,$A45,'LD50 Sources'!$K$2:$K$1000,1)&lt;2,"",ROUND(_xlfn.MAXIFS('LD50 Sources'!$C$2:$C$1000,'LD50 Sources'!$A$2:$A$1000,$A45,'LD50 Sources'!$K$2:$K$1000,1)/_xlfn.MINIFS('LD50 Sources'!$C$2:$C$1000,'LD50 Sources'!$A$2:$A$1000,$A45,'LD50 Sources'!$K$2:$K$1000,1),1))</f>
        <v/>
      </c>
      <c r="K45" s="21" t="n">
        <f aca="false">IFERROR(INDEX('Yield Sources'!$C$2:$C$1000,MATCH($A45,'Yield Sources'!$N$2:$N$1000,0)),"")</f>
        <v>3</v>
      </c>
      <c r="L45" s="21" t="n">
        <f aca="false">IFERROR(INDEX('Yield Sources'!$D$2:$D$1000,MATCH($A45,'Yield Sources'!$N$2:$N$1000,0)),"")</f>
        <v>5</v>
      </c>
      <c r="M45" s="11" t="str">
        <f aca="false">IFERROR(INDEX('Yield Sources'!$J$2:$J$1000,MATCH($A45,'Yield Sources'!$N$2:$N$1000,0))&amp;"","")</f>
        <v>C</v>
      </c>
      <c r="N45" s="20" t="str">
        <f aca="false">IF(COUNTIFS('Yield Sources'!$A$2:$A$1000,$A45,'Yield Sources'!$M$2:$M$1000,1)&lt;2,"",ROUND(_xlfn.MAXIFS('Yield Sources'!$D$2:$D$1000,'Yield Sources'!$A$2:$A$1000,$A45,'Yield Sources'!$M$2:$M$1000,1)/_xlfn.MINIFS('Yield Sources'!$D$2:$D$1000,'Yield Sources'!$A$2:$A$1000,$A45,'Yield Sources'!$M$2:$M$1000,1),1))</f>
        <v/>
      </c>
      <c r="O45" s="8" t="n">
        <v>2</v>
      </c>
      <c r="P45" s="8" t="n">
        <v>2</v>
      </c>
      <c r="Q45" s="5" t="s">
        <v>173</v>
      </c>
      <c r="R45" s="5" t="s">
        <v>174</v>
      </c>
      <c r="S45" s="11" t="str">
        <f aca="false">IFERROR(INDEX('Clinical Sources'!$M$2:$M$1000,MATCH($A45&amp;"|Annual deaths",'Clinical Sources'!$N$2:$N$1000,0)),"")</f>
        <v/>
      </c>
      <c r="T45" s="11" t="str">
        <f aca="false">IFERROR(INDEX('Clinical Sources'!$M$2:$M$1000,MATCH($A45&amp;"|Case-fatality rate",'Clinical Sources'!$N$2:$N$1000,0)),"")</f>
        <v/>
      </c>
      <c r="U45" s="9" t="s">
        <v>347</v>
      </c>
      <c r="V45" s="22" t="s">
        <v>153</v>
      </c>
      <c r="W45" s="22"/>
      <c r="X45" s="22"/>
      <c r="Y45" s="22"/>
      <c r="Z45" s="22"/>
      <c r="AA45" s="22"/>
      <c r="AB45" s="22"/>
      <c r="AC45" s="22"/>
      <c r="AD45" s="13" t="s">
        <v>154</v>
      </c>
      <c r="AE45" s="9" t="s">
        <v>348</v>
      </c>
    </row>
    <row r="46" customFormat="false" ht="14.25" hidden="false" customHeight="true" outlineLevel="0" collapsed="false">
      <c r="A46" s="4" t="s">
        <v>82</v>
      </c>
      <c r="B46" s="5" t="s">
        <v>349</v>
      </c>
      <c r="C46" s="9" t="s">
        <v>350</v>
      </c>
      <c r="D46" s="5" t="s">
        <v>148</v>
      </c>
      <c r="E46" s="5" t="s">
        <v>332</v>
      </c>
      <c r="F46" s="11" t="str">
        <f aca="false">IF(COUNTIF(V46:AC46,"Y")=0,"",UPPER(MID(IF(V46="Y","/neurotoxic","")&amp;IF(W46="Y","/hemotoxic","")&amp;IF(X46="Y","/procoagulant","")&amp;IF(Y46="Y","/anticoagulant","")&amp;IF(Z46="Y","/hemorrhagic","")&amp;IF(AA46="Y","/cytotoxic","")&amp;IF(AB46="Y","/myotoxic","")&amp;IF(AC46="Y","/cardiotoxic",""),2,1))&amp;MID(IF(V46="Y","/neurotoxic","")&amp;IF(W46="Y","/hemotoxic","")&amp;IF(X46="Y","/procoagulant","")&amp;IF(Y46="Y","/anticoagulant","")&amp;IF(Z46="Y","/hemorrhagic","")&amp;IF(AA46="Y","/cytotoxic","")&amp;IF(AB46="Y","/myotoxic","")&amp;IF(AC46="Y","/cardiotoxic",""),3,200))</f>
        <v>Hemotoxic</v>
      </c>
      <c r="G46" s="19" t="n">
        <f aca="false">IFERROR(INDEX('LD50 Sources'!$C$2:$C$1000,MATCH($A46,'LD50 Sources'!$L$2:$L$1000,0)),"")</f>
        <v>2.4</v>
      </c>
      <c r="H46" s="11" t="str">
        <f aca="false">IFERROR(INDEX('LD50 Sources'!$D$2:$D$1000,MATCH($A46,'LD50 Sources'!$L$2:$L$1000,0))&amp;"","")</f>
        <v>SC</v>
      </c>
      <c r="I46" s="11" t="str">
        <f aca="false">IFERROR(INDEX('LD50 Sources'!$H$2:$H$1000,MATCH($A46,'LD50 Sources'!$L$2:$L$1000,0))&amp;"","")</f>
        <v>C</v>
      </c>
      <c r="J46" s="20" t="str">
        <f aca="false">IF(COUNTIFS('LD50 Sources'!$A$2:$A$1000,$A46,'LD50 Sources'!$K$2:$K$1000,1)&lt;2,"",ROUND(_xlfn.MAXIFS('LD50 Sources'!$C$2:$C$1000,'LD50 Sources'!$A$2:$A$1000,$A46,'LD50 Sources'!$K$2:$K$1000,1)/_xlfn.MINIFS('LD50 Sources'!$C$2:$C$1000,'LD50 Sources'!$A$2:$A$1000,$A46,'LD50 Sources'!$K$2:$K$1000,1),1))</f>
        <v/>
      </c>
      <c r="K46" s="21" t="n">
        <f aca="false">IFERROR(INDEX('Yield Sources'!$C$2:$C$1000,MATCH($A46,'Yield Sources'!$N$2:$N$1000,0)),"")</f>
        <v>40</v>
      </c>
      <c r="L46" s="21" t="n">
        <f aca="false">IFERROR(INDEX('Yield Sources'!$D$2:$D$1000,MATCH($A46,'Yield Sources'!$N$2:$N$1000,0)),"")</f>
        <v>60</v>
      </c>
      <c r="M46" s="11" t="str">
        <f aca="false">IFERROR(INDEX('Yield Sources'!$J$2:$J$1000,MATCH($A46,'Yield Sources'!$N$2:$N$1000,0))&amp;"","")</f>
        <v>C</v>
      </c>
      <c r="N46" s="20" t="str">
        <f aca="false">IF(COUNTIFS('Yield Sources'!$A$2:$A$1000,$A46,'Yield Sources'!$M$2:$M$1000,1)&lt;2,"",ROUND(_xlfn.MAXIFS('Yield Sources'!$D$2:$D$1000,'Yield Sources'!$A$2:$A$1000,$A46,'Yield Sources'!$M$2:$M$1000,1)/_xlfn.MINIFS('Yield Sources'!$D$2:$D$1000,'Yield Sources'!$A$2:$A$1000,$A46,'Yield Sources'!$M$2:$M$1000,1),1))</f>
        <v/>
      </c>
      <c r="O46" s="8" t="n">
        <v>4</v>
      </c>
      <c r="P46" s="8" t="n">
        <v>4</v>
      </c>
      <c r="Q46" s="5" t="s">
        <v>159</v>
      </c>
      <c r="R46" s="5" t="s">
        <v>160</v>
      </c>
      <c r="S46" s="11" t="str">
        <f aca="false">IFERROR(INDEX('Clinical Sources'!$M$2:$M$1000,MATCH($A46&amp;"|Annual deaths",'Clinical Sources'!$N$2:$N$1000,0)),"")</f>
        <v/>
      </c>
      <c r="T46" s="11" t="str">
        <f aca="false">IFERROR(INDEX('Clinical Sources'!$M$2:$M$1000,MATCH($A46&amp;"|Case-fatality rate",'Clinical Sources'!$N$2:$N$1000,0)),"")</f>
        <v/>
      </c>
      <c r="U46" s="9" t="s">
        <v>351</v>
      </c>
      <c r="V46" s="22"/>
      <c r="W46" s="22" t="s">
        <v>153</v>
      </c>
      <c r="X46" s="22"/>
      <c r="Y46" s="22"/>
      <c r="Z46" s="22"/>
      <c r="AA46" s="22"/>
      <c r="AB46" s="22"/>
      <c r="AC46" s="22"/>
      <c r="AD46" s="13" t="s">
        <v>154</v>
      </c>
      <c r="AE46" s="9" t="s">
        <v>352</v>
      </c>
    </row>
    <row r="47" customFormat="false" ht="26.25" hidden="false" customHeight="true" outlineLevel="0" collapsed="false">
      <c r="A47" s="4" t="s">
        <v>80</v>
      </c>
      <c r="B47" s="5" t="s">
        <v>353</v>
      </c>
      <c r="C47" s="9" t="s">
        <v>354</v>
      </c>
      <c r="D47" s="5" t="s">
        <v>165</v>
      </c>
      <c r="E47" s="5" t="s">
        <v>355</v>
      </c>
      <c r="F47" s="11" t="str">
        <f aca="false">IF(COUNTIF(V47:AC47,"Y")=0,"",UPPER(MID(IF(V47="Y","/neurotoxic","")&amp;IF(W47="Y","/hemotoxic","")&amp;IF(X47="Y","/procoagulant","")&amp;IF(Y47="Y","/anticoagulant","")&amp;IF(Z47="Y","/hemorrhagic","")&amp;IF(AA47="Y","/cytotoxic","")&amp;IF(AB47="Y","/myotoxic","")&amp;IF(AC47="Y","/cardiotoxic",""),2,1))&amp;MID(IF(V47="Y","/neurotoxic","")&amp;IF(W47="Y","/hemotoxic","")&amp;IF(X47="Y","/procoagulant","")&amp;IF(Y47="Y","/anticoagulant","")&amp;IF(Z47="Y","/hemorrhagic","")&amp;IF(AA47="Y","/cytotoxic","")&amp;IF(AB47="Y","/myotoxic","")&amp;IF(AC47="Y","/cardiotoxic",""),3,200))</f>
        <v>Neurotoxic</v>
      </c>
      <c r="G47" s="19" t="n">
        <f aca="false">IFERROR(INDEX('LD50 Sources'!$C$2:$C$1000,MATCH($A47,'LD50 Sources'!$L$2:$L$1000,0)),"")</f>
        <v>0.62</v>
      </c>
      <c r="H47" s="11" t="str">
        <f aca="false">IFERROR(INDEX('LD50 Sources'!$D$2:$D$1000,MATCH($A47,'LD50 Sources'!$L$2:$L$1000,0))&amp;"","")</f>
        <v>SC</v>
      </c>
      <c r="I47" s="11" t="str">
        <f aca="false">IFERROR(INDEX('LD50 Sources'!$H$2:$H$1000,MATCH($A47,'LD50 Sources'!$L$2:$L$1000,0))&amp;"","")</f>
        <v>C</v>
      </c>
      <c r="J47" s="20" t="str">
        <f aca="false">IF(COUNTIFS('LD50 Sources'!$A$2:$A$1000,$A47,'LD50 Sources'!$K$2:$K$1000,1)&lt;2,"",ROUND(_xlfn.MAXIFS('LD50 Sources'!$C$2:$C$1000,'LD50 Sources'!$A$2:$A$1000,$A47,'LD50 Sources'!$K$2:$K$1000,1)/_xlfn.MINIFS('LD50 Sources'!$C$2:$C$1000,'LD50 Sources'!$A$2:$A$1000,$A47,'LD50 Sources'!$K$2:$K$1000,1),1))</f>
        <v/>
      </c>
      <c r="K47" s="21" t="n">
        <f aca="false">IFERROR(INDEX('Yield Sources'!$C$2:$C$1000,MATCH($A47,'Yield Sources'!$N$2:$N$1000,0)),"")</f>
        <v>2.4</v>
      </c>
      <c r="L47" s="21" t="n">
        <f aca="false">IFERROR(INDEX('Yield Sources'!$D$2:$D$1000,MATCH($A47,'Yield Sources'!$N$2:$N$1000,0)),"")</f>
        <v>15</v>
      </c>
      <c r="M47" s="11" t="str">
        <f aca="false">IFERROR(INDEX('Yield Sources'!$J$2:$J$1000,MATCH($A47,'Yield Sources'!$N$2:$N$1000,0))&amp;"","")</f>
        <v>C</v>
      </c>
      <c r="N47" s="20" t="str">
        <f aca="false">IF(COUNTIFS('Yield Sources'!$A$2:$A$1000,$A47,'Yield Sources'!$M$2:$M$1000,1)&lt;2,"",ROUND(_xlfn.MAXIFS('Yield Sources'!$D$2:$D$1000,'Yield Sources'!$A$2:$A$1000,$A47,'Yield Sources'!$M$2:$M$1000,1)/_xlfn.MINIFS('Yield Sources'!$D$2:$D$1000,'Yield Sources'!$A$2:$A$1000,$A47,'Yield Sources'!$M$2:$M$1000,1),1))</f>
        <v/>
      </c>
      <c r="O47" s="8" t="n">
        <v>1</v>
      </c>
      <c r="P47" s="8" t="n">
        <v>1</v>
      </c>
      <c r="Q47" s="5" t="s">
        <v>173</v>
      </c>
      <c r="R47" s="5" t="s">
        <v>174</v>
      </c>
      <c r="S47" s="11" t="str">
        <f aca="false">IFERROR(INDEX('Clinical Sources'!$M$2:$M$1000,MATCH($A47&amp;"|Annual deaths",'Clinical Sources'!$N$2:$N$1000,0)),"")</f>
        <v/>
      </c>
      <c r="T47" s="11" t="str">
        <f aca="false">IFERROR(INDEX('Clinical Sources'!$M$2:$M$1000,MATCH($A47&amp;"|Case-fatality rate",'Clinical Sources'!$N$2:$N$1000,0)),"")</f>
        <v/>
      </c>
      <c r="U47" s="9" t="s">
        <v>356</v>
      </c>
      <c r="V47" s="22" t="s">
        <v>153</v>
      </c>
      <c r="W47" s="22"/>
      <c r="X47" s="22"/>
      <c r="Y47" s="22"/>
      <c r="Z47" s="22"/>
      <c r="AA47" s="22"/>
      <c r="AB47" s="22"/>
      <c r="AC47" s="22"/>
      <c r="AD47" s="13" t="s">
        <v>154</v>
      </c>
      <c r="AE47" s="9" t="s">
        <v>357</v>
      </c>
    </row>
    <row r="48" customFormat="false" ht="14.25" hidden="false" customHeight="true" outlineLevel="0" collapsed="false">
      <c r="A48" s="4" t="s">
        <v>84</v>
      </c>
      <c r="B48" s="5" t="s">
        <v>358</v>
      </c>
      <c r="C48" s="9" t="s">
        <v>359</v>
      </c>
      <c r="D48" s="5" t="s">
        <v>148</v>
      </c>
      <c r="E48" s="5" t="s">
        <v>360</v>
      </c>
      <c r="F48" s="11" t="str">
        <f aca="false">IF(COUNTIF(V48:AC48,"Y")=0,"",UPPER(MID(IF(V48="Y","/neurotoxic","")&amp;IF(W48="Y","/hemotoxic","")&amp;IF(X48="Y","/procoagulant","")&amp;IF(Y48="Y","/anticoagulant","")&amp;IF(Z48="Y","/hemorrhagic","")&amp;IF(AA48="Y","/cytotoxic","")&amp;IF(AB48="Y","/myotoxic","")&amp;IF(AC48="Y","/cardiotoxic",""),2,1))&amp;MID(IF(V48="Y","/neurotoxic","")&amp;IF(W48="Y","/hemotoxic","")&amp;IF(X48="Y","/procoagulant","")&amp;IF(Y48="Y","/anticoagulant","")&amp;IF(Z48="Y","/hemorrhagic","")&amp;IF(AA48="Y","/cytotoxic","")&amp;IF(AB48="Y","/myotoxic","")&amp;IF(AC48="Y","/cardiotoxic",""),3,200))</f>
        <v>Hemotoxic</v>
      </c>
      <c r="G48" s="19" t="n">
        <f aca="false">IFERROR(INDEX('LD50 Sources'!$C$2:$C$1000,MATCH($A48,'LD50 Sources'!$L$2:$L$1000,0)),"")</f>
        <v>2.6</v>
      </c>
      <c r="H48" s="11" t="str">
        <f aca="false">IFERROR(INDEX('LD50 Sources'!$D$2:$D$1000,MATCH($A48,'LD50 Sources'!$L$2:$L$1000,0))&amp;"","")</f>
        <v>SC</v>
      </c>
      <c r="I48" s="11" t="str">
        <f aca="false">IFERROR(INDEX('LD50 Sources'!$H$2:$H$1000,MATCH($A48,'LD50 Sources'!$L$2:$L$1000,0))&amp;"","")</f>
        <v>C</v>
      </c>
      <c r="J48" s="20" t="str">
        <f aca="false">IF(COUNTIFS('LD50 Sources'!$A$2:$A$1000,$A48,'LD50 Sources'!$K$2:$K$1000,1)&lt;2,"",ROUND(_xlfn.MAXIFS('LD50 Sources'!$C$2:$C$1000,'LD50 Sources'!$A$2:$A$1000,$A48,'LD50 Sources'!$K$2:$K$1000,1)/_xlfn.MINIFS('LD50 Sources'!$C$2:$C$1000,'LD50 Sources'!$A$2:$A$1000,$A48,'LD50 Sources'!$K$2:$K$1000,1),1))</f>
        <v/>
      </c>
      <c r="K48" s="21" t="n">
        <f aca="false">IFERROR(INDEX('Yield Sources'!$C$2:$C$1000,MATCH($A48,'Yield Sources'!$N$2:$N$1000,0)),"")</f>
        <v>18</v>
      </c>
      <c r="L48" s="21" t="n">
        <f aca="false">IFERROR(INDEX('Yield Sources'!$D$2:$D$1000,MATCH($A48,'Yield Sources'!$N$2:$N$1000,0)),"")</f>
        <v>50</v>
      </c>
      <c r="M48" s="11" t="str">
        <f aca="false">IFERROR(INDEX('Yield Sources'!$J$2:$J$1000,MATCH($A48,'Yield Sources'!$N$2:$N$1000,0))&amp;"","")</f>
        <v>C</v>
      </c>
      <c r="N48" s="20" t="str">
        <f aca="false">IF(COUNTIFS('Yield Sources'!$A$2:$A$1000,$A48,'Yield Sources'!$M$2:$M$1000,1)&lt;2,"",ROUND(_xlfn.MAXIFS('Yield Sources'!$D$2:$D$1000,'Yield Sources'!$A$2:$A$1000,$A48,'Yield Sources'!$M$2:$M$1000,1)/_xlfn.MINIFS('Yield Sources'!$D$2:$D$1000,'Yield Sources'!$A$2:$A$1000,$A48,'Yield Sources'!$M$2:$M$1000,1),1))</f>
        <v/>
      </c>
      <c r="O48" s="8" t="n">
        <v>2</v>
      </c>
      <c r="P48" s="8" t="n">
        <v>2</v>
      </c>
      <c r="Q48" s="5" t="s">
        <v>159</v>
      </c>
      <c r="R48" s="5" t="s">
        <v>151</v>
      </c>
      <c r="S48" s="11" t="str">
        <f aca="false">IFERROR(INDEX('Clinical Sources'!$M$2:$M$1000,MATCH($A48&amp;"|Annual deaths",'Clinical Sources'!$N$2:$N$1000,0)),"")</f>
        <v/>
      </c>
      <c r="T48" s="11" t="str">
        <f aca="false">IFERROR(INDEX('Clinical Sources'!$M$2:$M$1000,MATCH($A48&amp;"|Case-fatality rate",'Clinical Sources'!$N$2:$N$1000,0)),"")</f>
        <v/>
      </c>
      <c r="U48" s="9" t="s">
        <v>361</v>
      </c>
      <c r="V48" s="22"/>
      <c r="W48" s="22" t="s">
        <v>153</v>
      </c>
      <c r="X48" s="22"/>
      <c r="Y48" s="22"/>
      <c r="Z48" s="22"/>
      <c r="AA48" s="22"/>
      <c r="AB48" s="22"/>
      <c r="AC48" s="22"/>
      <c r="AD48" s="13" t="s">
        <v>154</v>
      </c>
      <c r="AE48" s="9" t="s">
        <v>362</v>
      </c>
    </row>
    <row r="49" customFormat="false" ht="14.25" hidden="false" customHeight="true" outlineLevel="0" collapsed="false">
      <c r="A49" s="4" t="s">
        <v>76</v>
      </c>
      <c r="B49" s="5" t="s">
        <v>363</v>
      </c>
      <c r="C49" s="9" t="s">
        <v>364</v>
      </c>
      <c r="D49" s="5" t="s">
        <v>165</v>
      </c>
      <c r="E49" s="5" t="s">
        <v>365</v>
      </c>
      <c r="F49" s="11" t="str">
        <f aca="false">IF(COUNTIF(V49:AC49,"Y")=0,"",UPPER(MID(IF(V49="Y","/neurotoxic","")&amp;IF(W49="Y","/hemotoxic","")&amp;IF(X49="Y","/procoagulant","")&amp;IF(Y49="Y","/anticoagulant","")&amp;IF(Z49="Y","/hemorrhagic","")&amp;IF(AA49="Y","/cytotoxic","")&amp;IF(AB49="Y","/myotoxic","")&amp;IF(AC49="Y","/cardiotoxic",""),2,1))&amp;MID(IF(V49="Y","/neurotoxic","")&amp;IF(W49="Y","/hemotoxic","")&amp;IF(X49="Y","/procoagulant","")&amp;IF(Y49="Y","/anticoagulant","")&amp;IF(Z49="Y","/hemorrhagic","")&amp;IF(AA49="Y","/cytotoxic","")&amp;IF(AB49="Y","/myotoxic","")&amp;IF(AC49="Y","/cardiotoxic",""),3,200))</f>
        <v>Neurotoxic</v>
      </c>
      <c r="G49" s="19" t="n">
        <f aca="false">IFERROR(INDEX('LD50 Sources'!$C$2:$C$1000,MATCH($A49,'LD50 Sources'!$L$2:$L$1000,0)),"")</f>
        <v>0.04</v>
      </c>
      <c r="H49" s="11" t="str">
        <f aca="false">IFERROR(INDEX('LD50 Sources'!$D$2:$D$1000,MATCH($A49,'LD50 Sources'!$L$2:$L$1000,0))&amp;"","")</f>
        <v>SC</v>
      </c>
      <c r="I49" s="11" t="str">
        <f aca="false">IFERROR(INDEX('LD50 Sources'!$H$2:$H$1000,MATCH($A49,'LD50 Sources'!$L$2:$L$1000,0))&amp;"","")</f>
        <v>C</v>
      </c>
      <c r="J49" s="20" t="str">
        <f aca="false">IF(COUNTIFS('LD50 Sources'!$A$2:$A$1000,$A49,'LD50 Sources'!$K$2:$K$1000,1)&lt;2,"",ROUND(_xlfn.MAXIFS('LD50 Sources'!$C$2:$C$1000,'LD50 Sources'!$A$2:$A$1000,$A49,'LD50 Sources'!$K$2:$K$1000,1)/_xlfn.MINIFS('LD50 Sources'!$C$2:$C$1000,'LD50 Sources'!$A$2:$A$1000,$A49,'LD50 Sources'!$K$2:$K$1000,1),1))</f>
        <v/>
      </c>
      <c r="K49" s="21" t="n">
        <f aca="false">IFERROR(INDEX('Yield Sources'!$C$2:$C$1000,MATCH($A49,'Yield Sources'!$N$2:$N$1000,0)),"")</f>
        <v>0.7</v>
      </c>
      <c r="L49" s="21" t="n">
        <f aca="false">IFERROR(INDEX('Yield Sources'!$D$2:$D$1000,MATCH($A49,'Yield Sources'!$N$2:$N$1000,0)),"")</f>
        <v>0.7</v>
      </c>
      <c r="M49" s="11" t="str">
        <f aca="false">IFERROR(INDEX('Yield Sources'!$J$2:$J$1000,MATCH($A49,'Yield Sources'!$N$2:$N$1000,0))&amp;"","")</f>
        <v>C</v>
      </c>
      <c r="N49" s="20" t="str">
        <f aca="false">IF(COUNTIFS('Yield Sources'!$A$2:$A$1000,$A49,'Yield Sources'!$M$2:$M$1000,1)&lt;2,"",ROUND(_xlfn.MAXIFS('Yield Sources'!$D$2:$D$1000,'Yield Sources'!$A$2:$A$1000,$A49,'Yield Sources'!$M$2:$M$1000,1)/_xlfn.MINIFS('Yield Sources'!$D$2:$D$1000,'Yield Sources'!$A$2:$A$1000,$A49,'Yield Sources'!$M$2:$M$1000,1),1))</f>
        <v/>
      </c>
      <c r="O49" s="8" t="n">
        <v>1</v>
      </c>
      <c r="P49" s="8" t="n">
        <v>2</v>
      </c>
      <c r="Q49" s="5" t="s">
        <v>173</v>
      </c>
      <c r="R49" s="5" t="s">
        <v>174</v>
      </c>
      <c r="S49" s="11" t="str">
        <f aca="false">IFERROR(INDEX('Clinical Sources'!$M$2:$M$1000,MATCH($A49&amp;"|Annual deaths",'Clinical Sources'!$N$2:$N$1000,0)),"")</f>
        <v/>
      </c>
      <c r="T49" s="11" t="str">
        <f aca="false">IFERROR(INDEX('Clinical Sources'!$M$2:$M$1000,MATCH($A49&amp;"|Case-fatality rate",'Clinical Sources'!$N$2:$N$1000,0)),"")</f>
        <v/>
      </c>
      <c r="U49" s="9" t="s">
        <v>366</v>
      </c>
      <c r="V49" s="22" t="s">
        <v>153</v>
      </c>
      <c r="W49" s="22"/>
      <c r="X49" s="22"/>
      <c r="Y49" s="22"/>
      <c r="Z49" s="22"/>
      <c r="AA49" s="22"/>
      <c r="AB49" s="22"/>
      <c r="AC49" s="22"/>
      <c r="AD49" s="13" t="s">
        <v>154</v>
      </c>
      <c r="AE49" s="9" t="s">
        <v>367</v>
      </c>
    </row>
    <row r="50" customFormat="false" ht="14.25" hidden="false" customHeight="true" outlineLevel="0" collapsed="false">
      <c r="A50" s="4" t="s">
        <v>85</v>
      </c>
      <c r="B50" s="5" t="s">
        <v>368</v>
      </c>
      <c r="C50" s="9" t="s">
        <v>369</v>
      </c>
      <c r="D50" s="5" t="s">
        <v>148</v>
      </c>
      <c r="E50" s="5" t="s">
        <v>184</v>
      </c>
      <c r="F50" s="11" t="str">
        <f aca="false">IF(COUNTIF(V50:AC50,"Y")=0,"",UPPER(MID(IF(V50="Y","/neurotoxic","")&amp;IF(W50="Y","/hemotoxic","")&amp;IF(X50="Y","/procoagulant","")&amp;IF(Y50="Y","/anticoagulant","")&amp;IF(Z50="Y","/hemorrhagic","")&amp;IF(AA50="Y","/cytotoxic","")&amp;IF(AB50="Y","/myotoxic","")&amp;IF(AC50="Y","/cardiotoxic",""),2,1))&amp;MID(IF(V50="Y","/neurotoxic","")&amp;IF(W50="Y","/hemotoxic","")&amp;IF(X50="Y","/procoagulant","")&amp;IF(Y50="Y","/anticoagulant","")&amp;IF(Z50="Y","/hemorrhagic","")&amp;IF(AA50="Y","/cytotoxic","")&amp;IF(AB50="Y","/myotoxic","")&amp;IF(AC50="Y","/cardiotoxic",""),3,200))</f>
        <v>Cytotoxic</v>
      </c>
      <c r="G50" s="19" t="n">
        <f aca="false">IFERROR(INDEX('LD50 Sources'!$C$2:$C$1000,MATCH($A50,'LD50 Sources'!$L$2:$L$1000,0)),"")</f>
        <v>1.85</v>
      </c>
      <c r="H50" s="11" t="str">
        <f aca="false">IFERROR(INDEX('LD50 Sources'!$D$2:$D$1000,MATCH($A50,'LD50 Sources'!$L$2:$L$1000,0))&amp;"","")</f>
        <v>SC</v>
      </c>
      <c r="I50" s="11" t="str">
        <f aca="false">IFERROR(INDEX('LD50 Sources'!$H$2:$H$1000,MATCH($A50,'LD50 Sources'!$L$2:$L$1000,0))&amp;"","")</f>
        <v>C</v>
      </c>
      <c r="J50" s="20" t="str">
        <f aca="false">IF(COUNTIFS('LD50 Sources'!$A$2:$A$1000,$A50,'LD50 Sources'!$K$2:$K$1000,1)&lt;2,"",ROUND(_xlfn.MAXIFS('LD50 Sources'!$C$2:$C$1000,'LD50 Sources'!$A$2:$A$1000,$A50,'LD50 Sources'!$K$2:$K$1000,1)/_xlfn.MINIFS('LD50 Sources'!$C$2:$C$1000,'LD50 Sources'!$A$2:$A$1000,$A50,'LD50 Sources'!$K$2:$K$1000,1),1))</f>
        <v/>
      </c>
      <c r="K50" s="21" t="n">
        <f aca="false">IFERROR(INDEX('Yield Sources'!$C$2:$C$1000,MATCH($A50,'Yield Sources'!$N$2:$N$1000,0)),"")</f>
        <v>20</v>
      </c>
      <c r="L50" s="21" t="n">
        <f aca="false">IFERROR(INDEX('Yield Sources'!$D$2:$D$1000,MATCH($A50,'Yield Sources'!$N$2:$N$1000,0)),"")</f>
        <v>30</v>
      </c>
      <c r="M50" s="11" t="str">
        <f aca="false">IFERROR(INDEX('Yield Sources'!$J$2:$J$1000,MATCH($A50,'Yield Sources'!$N$2:$N$1000,0))&amp;"","")</f>
        <v>C</v>
      </c>
      <c r="N50" s="20" t="str">
        <f aca="false">IF(COUNTIFS('Yield Sources'!$A$2:$A$1000,$A50,'Yield Sources'!$M$2:$M$1000,1)&lt;2,"",ROUND(_xlfn.MAXIFS('Yield Sources'!$D$2:$D$1000,'Yield Sources'!$A$2:$A$1000,$A50,'Yield Sources'!$M$2:$M$1000,1)/_xlfn.MINIFS('Yield Sources'!$D$2:$D$1000,'Yield Sources'!$A$2:$A$1000,$A50,'Yield Sources'!$M$2:$M$1000,1),1))</f>
        <v/>
      </c>
      <c r="O50" s="8" t="n">
        <v>5</v>
      </c>
      <c r="P50" s="8" t="n">
        <v>2</v>
      </c>
      <c r="Q50" s="5" t="s">
        <v>159</v>
      </c>
      <c r="R50" s="5" t="s">
        <v>160</v>
      </c>
      <c r="S50" s="11" t="str">
        <f aca="false">IFERROR(INDEX('Clinical Sources'!$M$2:$M$1000,MATCH($A50&amp;"|Annual deaths",'Clinical Sources'!$N$2:$N$1000,0)),"")</f>
        <v/>
      </c>
      <c r="T50" s="11" t="str">
        <f aca="false">IFERROR(INDEX('Clinical Sources'!$M$2:$M$1000,MATCH($A50&amp;"|Case-fatality rate",'Clinical Sources'!$N$2:$N$1000,0)),"")</f>
        <v/>
      </c>
      <c r="U50" s="9" t="s">
        <v>370</v>
      </c>
      <c r="V50" s="22"/>
      <c r="W50" s="22"/>
      <c r="X50" s="22"/>
      <c r="Y50" s="22"/>
      <c r="Z50" s="22"/>
      <c r="AA50" s="22" t="s">
        <v>153</v>
      </c>
      <c r="AB50" s="22"/>
      <c r="AC50" s="22"/>
      <c r="AD50" s="13" t="s">
        <v>154</v>
      </c>
      <c r="AE50" s="9" t="s">
        <v>371</v>
      </c>
    </row>
    <row r="51" customFormat="false" ht="14.25" hidden="false" customHeight="true" outlineLevel="0" collapsed="false">
      <c r="A51" s="4" t="s">
        <v>86</v>
      </c>
      <c r="B51" s="5" t="s">
        <v>372</v>
      </c>
      <c r="C51" s="9" t="s">
        <v>373</v>
      </c>
      <c r="D51" s="5" t="s">
        <v>148</v>
      </c>
      <c r="E51" s="5" t="s">
        <v>260</v>
      </c>
      <c r="F51" s="11" t="str">
        <f aca="false">IF(COUNTIF(V51:AC51,"Y")=0,"",UPPER(MID(IF(V51="Y","/neurotoxic","")&amp;IF(W51="Y","/hemotoxic","")&amp;IF(X51="Y","/procoagulant","")&amp;IF(Y51="Y","/anticoagulant","")&amp;IF(Z51="Y","/hemorrhagic","")&amp;IF(AA51="Y","/cytotoxic","")&amp;IF(AB51="Y","/myotoxic","")&amp;IF(AC51="Y","/cardiotoxic",""),2,1))&amp;MID(IF(V51="Y","/neurotoxic","")&amp;IF(W51="Y","/hemotoxic","")&amp;IF(X51="Y","/procoagulant","")&amp;IF(Y51="Y","/anticoagulant","")&amp;IF(Z51="Y","/hemorrhagic","")&amp;IF(AA51="Y","/cytotoxic","")&amp;IF(AB51="Y","/myotoxic","")&amp;IF(AC51="Y","/cardiotoxic",""),3,200))</f>
        <v>Hemotoxic</v>
      </c>
      <c r="G51" s="19" t="n">
        <f aca="false">IFERROR(INDEX('LD50 Sources'!$C$2:$C$1000,MATCH($A51,'LD50 Sources'!$L$2:$L$1000,0)),"")</f>
        <v>1.6</v>
      </c>
      <c r="H51" s="11" t="str">
        <f aca="false">IFERROR(INDEX('LD50 Sources'!$D$2:$D$1000,MATCH($A51,'LD50 Sources'!$L$2:$L$1000,0))&amp;"","")</f>
        <v>SC</v>
      </c>
      <c r="I51" s="11" t="str">
        <f aca="false">IFERROR(INDEX('LD50 Sources'!$H$2:$H$1000,MATCH($A51,'LD50 Sources'!$L$2:$L$1000,0))&amp;"","")</f>
        <v>C</v>
      </c>
      <c r="J51" s="20" t="str">
        <f aca="false">IF(COUNTIFS('LD50 Sources'!$A$2:$A$1000,$A51,'LD50 Sources'!$K$2:$K$1000,1)&lt;2,"",ROUND(_xlfn.MAXIFS('LD50 Sources'!$C$2:$C$1000,'LD50 Sources'!$A$2:$A$1000,$A51,'LD50 Sources'!$K$2:$K$1000,1)/_xlfn.MINIFS('LD50 Sources'!$C$2:$C$1000,'LD50 Sources'!$A$2:$A$1000,$A51,'LD50 Sources'!$K$2:$K$1000,1),1))</f>
        <v/>
      </c>
      <c r="K51" s="21" t="n">
        <f aca="false">IFERROR(INDEX('Yield Sources'!$C$2:$C$1000,MATCH($A51,'Yield Sources'!$N$2:$N$1000,0)),"")</f>
        <v>10</v>
      </c>
      <c r="L51" s="21" t="n">
        <f aca="false">IFERROR(INDEX('Yield Sources'!$D$2:$D$1000,MATCH($A51,'Yield Sources'!$N$2:$N$1000,0)),"")</f>
        <v>20</v>
      </c>
      <c r="M51" s="11" t="str">
        <f aca="false">IFERROR(INDEX('Yield Sources'!$J$2:$J$1000,MATCH($A51,'Yield Sources'!$N$2:$N$1000,0))&amp;"","")</f>
        <v>C</v>
      </c>
      <c r="N51" s="20" t="str">
        <f aca="false">IF(COUNTIFS('Yield Sources'!$A$2:$A$1000,$A51,'Yield Sources'!$M$2:$M$1000,1)&lt;2,"",ROUND(_xlfn.MAXIFS('Yield Sources'!$D$2:$D$1000,'Yield Sources'!$A$2:$A$1000,$A51,'Yield Sources'!$M$2:$M$1000,1)/_xlfn.MINIFS('Yield Sources'!$D$2:$D$1000,'Yield Sources'!$A$2:$A$1000,$A51,'Yield Sources'!$M$2:$M$1000,1),1))</f>
        <v/>
      </c>
      <c r="O51" s="8" t="n">
        <v>3</v>
      </c>
      <c r="P51" s="8" t="n">
        <v>3</v>
      </c>
      <c r="Q51" s="5" t="s">
        <v>159</v>
      </c>
      <c r="R51" s="5" t="s">
        <v>160</v>
      </c>
      <c r="S51" s="11" t="str">
        <f aca="false">IFERROR(INDEX('Clinical Sources'!$M$2:$M$1000,MATCH($A51&amp;"|Annual deaths",'Clinical Sources'!$N$2:$N$1000,0)),"")</f>
        <v/>
      </c>
      <c r="T51" s="11" t="str">
        <f aca="false">IFERROR(INDEX('Clinical Sources'!$M$2:$M$1000,MATCH($A51&amp;"|Case-fatality rate",'Clinical Sources'!$N$2:$N$1000,0)),"")</f>
        <v/>
      </c>
      <c r="U51" s="9" t="s">
        <v>374</v>
      </c>
      <c r="V51" s="22"/>
      <c r="W51" s="22" t="s">
        <v>153</v>
      </c>
      <c r="X51" s="22"/>
      <c r="Y51" s="22"/>
      <c r="Z51" s="22"/>
      <c r="AA51" s="22"/>
      <c r="AB51" s="22"/>
      <c r="AC51" s="22"/>
      <c r="AD51" s="13" t="s">
        <v>154</v>
      </c>
      <c r="AE51" s="9" t="s">
        <v>375</v>
      </c>
    </row>
    <row r="52" customFormat="false" ht="39" hidden="false" customHeight="true" outlineLevel="0" collapsed="false">
      <c r="A52" s="4" t="s">
        <v>66</v>
      </c>
      <c r="B52" s="5" t="s">
        <v>376</v>
      </c>
      <c r="C52" s="9" t="s">
        <v>277</v>
      </c>
      <c r="D52" s="5" t="s">
        <v>165</v>
      </c>
      <c r="E52" s="5" t="s">
        <v>377</v>
      </c>
      <c r="F52" s="11" t="str">
        <f aca="false">IF(COUNTIF(V52:AC52,"Y")=0,"",UPPER(MID(IF(V52="Y","/neurotoxic","")&amp;IF(W52="Y","/hemotoxic","")&amp;IF(X52="Y","/procoagulant","")&amp;IF(Y52="Y","/anticoagulant","")&amp;IF(Z52="Y","/hemorrhagic","")&amp;IF(AA52="Y","/cytotoxic","")&amp;IF(AB52="Y","/myotoxic","")&amp;IF(AC52="Y","/cardiotoxic",""),2,1))&amp;MID(IF(V52="Y","/neurotoxic","")&amp;IF(W52="Y","/hemotoxic","")&amp;IF(X52="Y","/procoagulant","")&amp;IF(Y52="Y","/anticoagulant","")&amp;IF(Z52="Y","/hemorrhagic","")&amp;IF(AA52="Y","/cytotoxic","")&amp;IF(AB52="Y","/myotoxic","")&amp;IF(AC52="Y","/cardiotoxic",""),3,200))</f>
        <v>Neurotoxic</v>
      </c>
      <c r="G52" s="19" t="n">
        <f aca="false">IFERROR(INDEX('LD50 Sources'!$C$2:$C$1000,MATCH($A52,'LD50 Sources'!$L$2:$L$1000,0)),"")</f>
        <v>0.1</v>
      </c>
      <c r="H52" s="11" t="str">
        <f aca="false">IFERROR(INDEX('LD50 Sources'!$D$2:$D$1000,MATCH($A52,'LD50 Sources'!$L$2:$L$1000,0))&amp;"","")</f>
        <v>IV</v>
      </c>
      <c r="I52" s="11" t="str">
        <f aca="false">IFERROR(INDEX('LD50 Sources'!$H$2:$H$1000,MATCH($A52,'LD50 Sources'!$L$2:$L$1000,0))&amp;"","")</f>
        <v>C</v>
      </c>
      <c r="J52" s="20" t="str">
        <f aca="false">IF(COUNTIFS('LD50 Sources'!$A$2:$A$1000,$A52,'LD50 Sources'!$K$2:$K$1000,1)&lt;2,"",ROUND(_xlfn.MAXIFS('LD50 Sources'!$C$2:$C$1000,'LD50 Sources'!$A$2:$A$1000,$A52,'LD50 Sources'!$K$2:$K$1000,1)/_xlfn.MINIFS('LD50 Sources'!$C$2:$C$1000,'LD50 Sources'!$A$2:$A$1000,$A52,'LD50 Sources'!$K$2:$K$1000,1),1))</f>
        <v/>
      </c>
      <c r="K52" s="21" t="n">
        <f aca="false">IFERROR(INDEX('Yield Sources'!$C$2:$C$1000,MATCH($A52,'Yield Sources'!$N$2:$N$1000,0)),"")</f>
        <v>5</v>
      </c>
      <c r="L52" s="21" t="n">
        <f aca="false">IFERROR(INDEX('Yield Sources'!$D$2:$D$1000,MATCH($A52,'Yield Sources'!$N$2:$N$1000,0)),"")</f>
        <v>5</v>
      </c>
      <c r="M52" s="11" t="str">
        <f aca="false">IFERROR(INDEX('Yield Sources'!$J$2:$J$1000,MATCH($A52,'Yield Sources'!$N$2:$N$1000,0))&amp;"","")</f>
        <v>C</v>
      </c>
      <c r="N52" s="20" t="str">
        <f aca="false">IF(COUNTIFS('Yield Sources'!$A$2:$A$1000,$A52,'Yield Sources'!$M$2:$M$1000,1)&lt;2,"",ROUND(_xlfn.MAXIFS('Yield Sources'!$D$2:$D$1000,'Yield Sources'!$A$2:$A$1000,$A52,'Yield Sources'!$M$2:$M$1000,1)/_xlfn.MINIFS('Yield Sources'!$D$2:$D$1000,'Yield Sources'!$A$2:$A$1000,$A52,'Yield Sources'!$M$2:$M$1000,1),1))</f>
        <v/>
      </c>
      <c r="O52" s="8" t="n">
        <v>7</v>
      </c>
      <c r="P52" s="8" t="n">
        <v>3</v>
      </c>
      <c r="Q52" s="5" t="s">
        <v>167</v>
      </c>
      <c r="R52" s="5" t="s">
        <v>160</v>
      </c>
      <c r="S52" s="11" t="str">
        <f aca="false">IFERROR(INDEX('Clinical Sources'!$M$2:$M$1000,MATCH($A52&amp;"|Annual deaths",'Clinical Sources'!$N$2:$N$1000,0)),"")</f>
        <v/>
      </c>
      <c r="T52" s="11" t="str">
        <f aca="false">IFERROR(INDEX('Clinical Sources'!$M$2:$M$1000,MATCH($A52&amp;"|Case-fatality rate",'Clinical Sources'!$N$2:$N$1000,0)),"")</f>
        <v>7.4% (Thailand, poison centre cases) [treatment unclear]</v>
      </c>
      <c r="U52" s="9" t="s">
        <v>378</v>
      </c>
      <c r="V52" s="22" t="s">
        <v>153</v>
      </c>
      <c r="W52" s="22"/>
      <c r="X52" s="22"/>
      <c r="Y52" s="22"/>
      <c r="Z52" s="22"/>
      <c r="AA52" s="22"/>
      <c r="AB52" s="22"/>
      <c r="AC52" s="22"/>
      <c r="AD52" s="13" t="s">
        <v>154</v>
      </c>
      <c r="AE52" s="9" t="s">
        <v>379</v>
      </c>
    </row>
    <row r="53" customFormat="false" ht="39" hidden="false" customHeight="true" outlineLevel="0" collapsed="false">
      <c r="A53" s="4" t="s">
        <v>19</v>
      </c>
      <c r="B53" s="5" t="s">
        <v>380</v>
      </c>
      <c r="C53" s="9" t="s">
        <v>381</v>
      </c>
      <c r="D53" s="5" t="s">
        <v>165</v>
      </c>
      <c r="E53" s="5" t="s">
        <v>382</v>
      </c>
      <c r="F53" s="11" t="str">
        <f aca="false">IF(COUNTIF(V53:AC53,"Y")=0,"",UPPER(MID(IF(V53="Y","/neurotoxic","")&amp;IF(W53="Y","/hemotoxic","")&amp;IF(X53="Y","/procoagulant","")&amp;IF(Y53="Y","/anticoagulant","")&amp;IF(Z53="Y","/hemorrhagic","")&amp;IF(AA53="Y","/cytotoxic","")&amp;IF(AB53="Y","/myotoxic","")&amp;IF(AC53="Y","/cardiotoxic",""),2,1))&amp;MID(IF(V53="Y","/neurotoxic","")&amp;IF(W53="Y","/hemotoxic","")&amp;IF(X53="Y","/procoagulant","")&amp;IF(Y53="Y","/anticoagulant","")&amp;IF(Z53="Y","/hemorrhagic","")&amp;IF(AA53="Y","/cytotoxic","")&amp;IF(AB53="Y","/myotoxic","")&amp;IF(AC53="Y","/cardiotoxic",""),3,200))</f>
        <v>Neurotoxic/cytotoxic</v>
      </c>
      <c r="G53" s="19" t="n">
        <f aca="false">IFERROR(INDEX('LD50 Sources'!$C$2:$C$1000,MATCH($A53,'LD50 Sources'!$L$2:$L$1000,0)),"")</f>
        <v>0.12</v>
      </c>
      <c r="H53" s="11" t="str">
        <f aca="false">IFERROR(INDEX('LD50 Sources'!$D$2:$D$1000,MATCH($A53,'LD50 Sources'!$L$2:$L$1000,0))&amp;"","")</f>
        <v>SC</v>
      </c>
      <c r="I53" s="11" t="str">
        <f aca="false">IFERROR(INDEX('LD50 Sources'!$H$2:$H$1000,MATCH($A53,'LD50 Sources'!$L$2:$L$1000,0))&amp;"","")</f>
        <v>C</v>
      </c>
      <c r="J53" s="20" t="n">
        <f aca="false">IF(COUNTIFS('LD50 Sources'!$A$2:$A$1000,$A53,'LD50 Sources'!$K$2:$K$1000,1)&lt;2,"",ROUND(_xlfn.MAXIFS('LD50 Sources'!$C$2:$C$1000,'LD50 Sources'!$A$2:$A$1000,$A53,'LD50 Sources'!$K$2:$K$1000,1)/_xlfn.MINIFS('LD50 Sources'!$C$2:$C$1000,'LD50 Sources'!$A$2:$A$1000,$A53,'LD50 Sources'!$K$2:$K$1000,1),1))</f>
        <v>1.9</v>
      </c>
      <c r="K53" s="21" t="n">
        <f aca="false">IFERROR(INDEX('Yield Sources'!$C$2:$C$1000,MATCH($A53,'Yield Sources'!$N$2:$N$1000,0)),"")</f>
        <v>571</v>
      </c>
      <c r="L53" s="21" t="n">
        <f aca="false">IFERROR(INDEX('Yield Sources'!$D$2:$D$1000,MATCH($A53,'Yield Sources'!$N$2:$N$1000,0)),"")</f>
        <v>1102</v>
      </c>
      <c r="M53" s="11" t="str">
        <f aca="false">IFERROR(INDEX('Yield Sources'!$J$2:$J$1000,MATCH($A53,'Yield Sources'!$N$2:$N$1000,0))&amp;"","")</f>
        <v>B</v>
      </c>
      <c r="N53" s="20" t="n">
        <f aca="false">IF(COUNTIFS('Yield Sources'!$A$2:$A$1000,$A53,'Yield Sources'!$M$2:$M$1000,1)&lt;2,"",ROUND(_xlfn.MAXIFS('Yield Sources'!$D$2:$D$1000,'Yield Sources'!$A$2:$A$1000,$A53,'Yield Sources'!$M$2:$M$1000,1)/_xlfn.MINIFS('Yield Sources'!$D$2:$D$1000,'Yield Sources'!$A$2:$A$1000,$A53,'Yield Sources'!$M$2:$M$1000,1),1))</f>
        <v>2.2</v>
      </c>
      <c r="O53" s="8" t="n">
        <v>3</v>
      </c>
      <c r="P53" s="8" t="n">
        <v>3</v>
      </c>
      <c r="Q53" s="5" t="s">
        <v>167</v>
      </c>
      <c r="R53" s="5" t="s">
        <v>160</v>
      </c>
      <c r="S53" s="11" t="str">
        <f aca="false">IFERROR(INDEX('Clinical Sources'!$M$2:$M$1000,MATCH($A53&amp;"|Annual deaths",'Clinical Sources'!$N$2:$N$1000,0)),"")</f>
        <v/>
      </c>
      <c r="T53" s="11" t="str">
        <f aca="false">IFERROR(INDEX('Clinical Sources'!$M$2:$M$1000,MATCH($A53&amp;"|Case-fatality rate",'Clinical Sources'!$N$2:$N$1000,0)),"")</f>
        <v/>
      </c>
      <c r="U53" s="9" t="s">
        <v>383</v>
      </c>
      <c r="V53" s="22" t="s">
        <v>153</v>
      </c>
      <c r="W53" s="22"/>
      <c r="X53" s="22"/>
      <c r="Y53" s="22"/>
      <c r="Z53" s="22"/>
      <c r="AA53" s="22" t="s">
        <v>153</v>
      </c>
      <c r="AB53" s="22"/>
      <c r="AC53" s="22"/>
      <c r="AD53" s="13" t="s">
        <v>154</v>
      </c>
      <c r="AE53" s="9" t="s">
        <v>384</v>
      </c>
    </row>
    <row r="54" customFormat="false" ht="26.25" hidden="false" customHeight="true" outlineLevel="0" collapsed="false">
      <c r="A54" s="4" t="s">
        <v>45</v>
      </c>
      <c r="B54" s="5" t="s">
        <v>385</v>
      </c>
      <c r="C54" s="9" t="s">
        <v>386</v>
      </c>
      <c r="D54" s="5" t="s">
        <v>165</v>
      </c>
      <c r="E54" s="5" t="s">
        <v>387</v>
      </c>
      <c r="F54" s="11" t="str">
        <f aca="false">IF(COUNTIF(V54:AC54,"Y")=0,"",UPPER(MID(IF(V54="Y","/neurotoxic","")&amp;IF(W54="Y","/hemotoxic","")&amp;IF(X54="Y","/procoagulant","")&amp;IF(Y54="Y","/anticoagulant","")&amp;IF(Z54="Y","/hemorrhagic","")&amp;IF(AA54="Y","/cytotoxic","")&amp;IF(AB54="Y","/myotoxic","")&amp;IF(AC54="Y","/cardiotoxic",""),2,1))&amp;MID(IF(V54="Y","/neurotoxic","")&amp;IF(W54="Y","/hemotoxic","")&amp;IF(X54="Y","/procoagulant","")&amp;IF(Y54="Y","/anticoagulant","")&amp;IF(Z54="Y","/hemorrhagic","")&amp;IF(AA54="Y","/cytotoxic","")&amp;IF(AB54="Y","/myotoxic","")&amp;IF(AC54="Y","/cardiotoxic",""),3,200))</f>
        <v>Neurotoxic/cardiotoxic</v>
      </c>
      <c r="G54" s="19" t="n">
        <f aca="false">IFERROR(INDEX('LD50 Sources'!$C$2:$C$1000,MATCH($A54,'LD50 Sources'!$L$2:$L$1000,0)),"")</f>
        <v>0.26</v>
      </c>
      <c r="H54" s="11" t="str">
        <f aca="false">IFERROR(INDEX('LD50 Sources'!$D$2:$D$1000,MATCH($A54,'LD50 Sources'!$L$2:$L$1000,0))&amp;"","")</f>
        <v>SC</v>
      </c>
      <c r="I54" s="11" t="str">
        <f aca="false">IFERROR(INDEX('LD50 Sources'!$H$2:$H$1000,MATCH($A54,'LD50 Sources'!$L$2:$L$1000,0))&amp;"","")</f>
        <v>C</v>
      </c>
      <c r="J54" s="20" t="str">
        <f aca="false">IF(COUNTIFS('LD50 Sources'!$A$2:$A$1000,$A54,'LD50 Sources'!$K$2:$K$1000,1)&lt;2,"",ROUND(_xlfn.MAXIFS('LD50 Sources'!$C$2:$C$1000,'LD50 Sources'!$A$2:$A$1000,$A54,'LD50 Sources'!$K$2:$K$1000,1)/_xlfn.MINIFS('LD50 Sources'!$C$2:$C$1000,'LD50 Sources'!$A$2:$A$1000,$A54,'LD50 Sources'!$K$2:$K$1000,1),1))</f>
        <v/>
      </c>
      <c r="K54" s="21" t="n">
        <f aca="false">IFERROR(INDEX('Yield Sources'!$C$2:$C$1000,MATCH($A54,'Yield Sources'!$N$2:$N$1000,0)),"")</f>
        <v>60</v>
      </c>
      <c r="L54" s="21" t="n">
        <f aca="false">IFERROR(INDEX('Yield Sources'!$D$2:$D$1000,MATCH($A54,'Yield Sources'!$N$2:$N$1000,0)),"")</f>
        <v>95</v>
      </c>
      <c r="M54" s="11" t="str">
        <f aca="false">IFERROR(INDEX('Yield Sources'!$J$2:$J$1000,MATCH($A54,'Yield Sources'!$N$2:$N$1000,0))&amp;"","")</f>
        <v>C</v>
      </c>
      <c r="N54" s="20" t="str">
        <f aca="false">IF(COUNTIFS('Yield Sources'!$A$2:$A$1000,$A54,'Yield Sources'!$M$2:$M$1000,1)&lt;2,"",ROUND(_xlfn.MAXIFS('Yield Sources'!$D$2:$D$1000,'Yield Sources'!$A$2:$A$1000,$A54,'Yield Sources'!$M$2:$M$1000,1)/_xlfn.MINIFS('Yield Sources'!$D$2:$D$1000,'Yield Sources'!$A$2:$A$1000,$A54,'Yield Sources'!$M$2:$M$1000,1),1))</f>
        <v/>
      </c>
      <c r="O54" s="8" t="n">
        <v>4</v>
      </c>
      <c r="P54" s="8" t="n">
        <v>3</v>
      </c>
      <c r="Q54" s="5" t="s">
        <v>167</v>
      </c>
      <c r="R54" s="5" t="s">
        <v>160</v>
      </c>
      <c r="S54" s="11" t="str">
        <f aca="false">IFERROR(INDEX('Clinical Sources'!$M$2:$M$1000,MATCH($A54&amp;"|Annual deaths",'Clinical Sources'!$N$2:$N$1000,0)),"")</f>
        <v/>
      </c>
      <c r="T54" s="11" t="str">
        <f aca="false">IFERROR(INDEX('Clinical Sources'!$M$2:$M$1000,MATCH($A54&amp;"|Case-fatality rate",'Clinical Sources'!$N$2:$N$1000,0)),"")</f>
        <v/>
      </c>
      <c r="U54" s="9" t="s">
        <v>388</v>
      </c>
      <c r="V54" s="22" t="s">
        <v>153</v>
      </c>
      <c r="W54" s="22"/>
      <c r="X54" s="22"/>
      <c r="Y54" s="22"/>
      <c r="Z54" s="22"/>
      <c r="AA54" s="22"/>
      <c r="AB54" s="22"/>
      <c r="AC54" s="22" t="s">
        <v>153</v>
      </c>
      <c r="AD54" s="13" t="s">
        <v>154</v>
      </c>
      <c r="AE54" s="9" t="s">
        <v>389</v>
      </c>
    </row>
    <row r="55" customFormat="false" ht="14.25" hidden="false" customHeight="true" outlineLevel="0" collapsed="false">
      <c r="A55" s="4" t="s">
        <v>37</v>
      </c>
      <c r="B55" s="5" t="s">
        <v>390</v>
      </c>
      <c r="C55" s="9" t="s">
        <v>391</v>
      </c>
      <c r="D55" s="5" t="s">
        <v>165</v>
      </c>
      <c r="E55" s="5" t="s">
        <v>392</v>
      </c>
      <c r="F55" s="11" t="str">
        <f aca="false">IF(COUNTIF(V55:AC55,"Y")=0,"",UPPER(MID(IF(V55="Y","/neurotoxic","")&amp;IF(W55="Y","/hemotoxic","")&amp;IF(X55="Y","/procoagulant","")&amp;IF(Y55="Y","/anticoagulant","")&amp;IF(Z55="Y","/hemorrhagic","")&amp;IF(AA55="Y","/cytotoxic","")&amp;IF(AB55="Y","/myotoxic","")&amp;IF(AC55="Y","/cardiotoxic",""),2,1))&amp;MID(IF(V55="Y","/neurotoxic","")&amp;IF(W55="Y","/hemotoxic","")&amp;IF(X55="Y","/procoagulant","")&amp;IF(Y55="Y","/anticoagulant","")&amp;IF(Z55="Y","/hemorrhagic","")&amp;IF(AA55="Y","/cytotoxic","")&amp;IF(AB55="Y","/myotoxic","")&amp;IF(AC55="Y","/cardiotoxic",""),3,200))</f>
        <v>Neurotoxic/cytotoxic</v>
      </c>
      <c r="G55" s="19" t="n">
        <f aca="false">IFERROR(INDEX('LD50 Sources'!$C$2:$C$1000,MATCH($A55,'LD50 Sources'!$L$2:$L$1000,0)),"")</f>
        <v>0.22</v>
      </c>
      <c r="H55" s="11" t="str">
        <f aca="false">IFERROR(INDEX('LD50 Sources'!$D$2:$D$1000,MATCH($A55,'LD50 Sources'!$L$2:$L$1000,0))&amp;"","")</f>
        <v>SC</v>
      </c>
      <c r="I55" s="11" t="str">
        <f aca="false">IFERROR(INDEX('LD50 Sources'!$H$2:$H$1000,MATCH($A55,'LD50 Sources'!$L$2:$L$1000,0))&amp;"","")</f>
        <v>C</v>
      </c>
      <c r="J55" s="20" t="str">
        <f aca="false">IF(COUNTIFS('LD50 Sources'!$A$2:$A$1000,$A55,'LD50 Sources'!$K$2:$K$1000,1)&lt;2,"",ROUND(_xlfn.MAXIFS('LD50 Sources'!$C$2:$C$1000,'LD50 Sources'!$A$2:$A$1000,$A55,'LD50 Sources'!$K$2:$K$1000,1)/_xlfn.MINIFS('LD50 Sources'!$C$2:$C$1000,'LD50 Sources'!$A$2:$A$1000,$A55,'LD50 Sources'!$K$2:$K$1000,1),1))</f>
        <v/>
      </c>
      <c r="K55" s="21" t="n">
        <f aca="false">IFERROR(INDEX('Yield Sources'!$C$2:$C$1000,MATCH($A55,'Yield Sources'!$N$2:$N$1000,0)),"")</f>
        <v>80</v>
      </c>
      <c r="L55" s="21" t="n">
        <f aca="false">IFERROR(INDEX('Yield Sources'!$D$2:$D$1000,MATCH($A55,'Yield Sources'!$N$2:$N$1000,0)),"")</f>
        <v>120</v>
      </c>
      <c r="M55" s="11" t="str">
        <f aca="false">IFERROR(INDEX('Yield Sources'!$J$2:$J$1000,MATCH($A55,'Yield Sources'!$N$2:$N$1000,0))&amp;"","")</f>
        <v>C</v>
      </c>
      <c r="N55" s="20" t="str">
        <f aca="false">IF(COUNTIFS('Yield Sources'!$A$2:$A$1000,$A55,'Yield Sources'!$M$2:$M$1000,1)&lt;2,"",ROUND(_xlfn.MAXIFS('Yield Sources'!$D$2:$D$1000,'Yield Sources'!$A$2:$A$1000,$A55,'Yield Sources'!$M$2:$M$1000,1)/_xlfn.MINIFS('Yield Sources'!$D$2:$D$1000,'Yield Sources'!$A$2:$A$1000,$A55,'Yield Sources'!$M$2:$M$1000,1),1))</f>
        <v/>
      </c>
      <c r="O55" s="8" t="n">
        <v>6</v>
      </c>
      <c r="P55" s="8" t="n">
        <v>3</v>
      </c>
      <c r="Q55" s="5" t="s">
        <v>167</v>
      </c>
      <c r="R55" s="5" t="s">
        <v>160</v>
      </c>
      <c r="S55" s="11" t="str">
        <f aca="false">IFERROR(INDEX('Clinical Sources'!$M$2:$M$1000,MATCH($A55&amp;"|Annual deaths",'Clinical Sources'!$N$2:$N$1000,0)),"")</f>
        <v/>
      </c>
      <c r="T55" s="11" t="str">
        <f aca="false">IFERROR(INDEX('Clinical Sources'!$M$2:$M$1000,MATCH($A55&amp;"|Case-fatality rate",'Clinical Sources'!$N$2:$N$1000,0)),"")</f>
        <v/>
      </c>
      <c r="U55" s="9" t="s">
        <v>393</v>
      </c>
      <c r="V55" s="22" t="s">
        <v>153</v>
      </c>
      <c r="W55" s="22"/>
      <c r="X55" s="22"/>
      <c r="Y55" s="22"/>
      <c r="Z55" s="22"/>
      <c r="AA55" s="22" t="s">
        <v>153</v>
      </c>
      <c r="AB55" s="22"/>
      <c r="AC55" s="22"/>
      <c r="AD55" s="13" t="s">
        <v>154</v>
      </c>
      <c r="AE55" s="9" t="s">
        <v>394</v>
      </c>
    </row>
    <row r="56" customFormat="false" ht="26.25" hidden="false" customHeight="true" outlineLevel="0" collapsed="false">
      <c r="A56" s="4" t="s">
        <v>31</v>
      </c>
      <c r="B56" s="5" t="s">
        <v>395</v>
      </c>
      <c r="C56" s="9"/>
      <c r="D56" s="5" t="s">
        <v>165</v>
      </c>
      <c r="E56" s="5" t="s">
        <v>184</v>
      </c>
      <c r="F56" s="11" t="str">
        <f aca="false">IF(COUNTIF(V56:AC56,"Y")=0,"",UPPER(MID(IF(V56="Y","/neurotoxic","")&amp;IF(W56="Y","/hemotoxic","")&amp;IF(X56="Y","/procoagulant","")&amp;IF(Y56="Y","/anticoagulant","")&amp;IF(Z56="Y","/hemorrhagic","")&amp;IF(AA56="Y","/cytotoxic","")&amp;IF(AB56="Y","/myotoxic","")&amp;IF(AC56="Y","/cardiotoxic",""),2,1))&amp;MID(IF(V56="Y","/neurotoxic","")&amp;IF(W56="Y","/hemotoxic","")&amp;IF(X56="Y","/procoagulant","")&amp;IF(Y56="Y","/anticoagulant","")&amp;IF(Z56="Y","/hemorrhagic","")&amp;IF(AA56="Y","/cytotoxic","")&amp;IF(AB56="Y","/myotoxic","")&amp;IF(AC56="Y","/cardiotoxic",""),3,200))</f>
        <v>Neurotoxic/cytotoxic</v>
      </c>
      <c r="G56" s="19" t="n">
        <f aca="false">IFERROR(INDEX('LD50 Sources'!$C$2:$C$1000,MATCH($A56,'LD50 Sources'!$L$2:$L$1000,0)),"")</f>
        <v>0.23</v>
      </c>
      <c r="H56" s="11" t="str">
        <f aca="false">IFERROR(INDEX('LD50 Sources'!$D$2:$D$1000,MATCH($A56,'LD50 Sources'!$L$2:$L$1000,0))&amp;"","")</f>
        <v>SC</v>
      </c>
      <c r="I56" s="11" t="str">
        <f aca="false">IFERROR(INDEX('LD50 Sources'!$H$2:$H$1000,MATCH($A56,'LD50 Sources'!$L$2:$L$1000,0))&amp;"","")</f>
        <v>C</v>
      </c>
      <c r="J56" s="20" t="str">
        <f aca="false">IF(COUNTIFS('LD50 Sources'!$A$2:$A$1000,$A56,'LD50 Sources'!$K$2:$K$1000,1)&lt;2,"",ROUND(_xlfn.MAXIFS('LD50 Sources'!$C$2:$C$1000,'LD50 Sources'!$A$2:$A$1000,$A56,'LD50 Sources'!$K$2:$K$1000,1)/_xlfn.MINIFS('LD50 Sources'!$C$2:$C$1000,'LD50 Sources'!$A$2:$A$1000,$A56,'LD50 Sources'!$K$2:$K$1000,1),1))</f>
        <v/>
      </c>
      <c r="K56" s="21" t="n">
        <f aca="false">IFERROR(INDEX('Yield Sources'!$C$2:$C$1000,MATCH($A56,'Yield Sources'!$N$2:$N$1000,0)),"")</f>
        <v>150</v>
      </c>
      <c r="L56" s="21" t="n">
        <f aca="false">IFERROR(INDEX('Yield Sources'!$D$2:$D$1000,MATCH($A56,'Yield Sources'!$N$2:$N$1000,0)),"")</f>
        <v>350</v>
      </c>
      <c r="M56" s="11" t="str">
        <f aca="false">IFERROR(INDEX('Yield Sources'!$J$2:$J$1000,MATCH($A56,'Yield Sources'!$N$2:$N$1000,0))&amp;"","")</f>
        <v>C</v>
      </c>
      <c r="N56" s="20" t="str">
        <f aca="false">IF(COUNTIFS('Yield Sources'!$A$2:$A$1000,$A56,'Yield Sources'!$M$2:$M$1000,1)&lt;2,"",ROUND(_xlfn.MAXIFS('Yield Sources'!$D$2:$D$1000,'Yield Sources'!$A$2:$A$1000,$A56,'Yield Sources'!$M$2:$M$1000,1)/_xlfn.MINIFS('Yield Sources'!$D$2:$D$1000,'Yield Sources'!$A$2:$A$1000,$A56,'Yield Sources'!$M$2:$M$1000,1),1))</f>
        <v/>
      </c>
      <c r="O56" s="8" t="n">
        <v>7</v>
      </c>
      <c r="P56" s="8" t="n">
        <v>3</v>
      </c>
      <c r="Q56" s="5" t="s">
        <v>167</v>
      </c>
      <c r="R56" s="5" t="s">
        <v>160</v>
      </c>
      <c r="S56" s="11" t="str">
        <f aca="false">IFERROR(INDEX('Clinical Sources'!$M$2:$M$1000,MATCH($A56&amp;"|Annual deaths",'Clinical Sources'!$N$2:$N$1000,0)),"")</f>
        <v/>
      </c>
      <c r="T56" s="11" t="str">
        <f aca="false">IFERROR(INDEX('Clinical Sources'!$M$2:$M$1000,MATCH($A56&amp;"|Case-fatality rate",'Clinical Sources'!$N$2:$N$1000,0)),"")</f>
        <v/>
      </c>
      <c r="U56" s="9" t="s">
        <v>396</v>
      </c>
      <c r="V56" s="22" t="s">
        <v>153</v>
      </c>
      <c r="W56" s="22"/>
      <c r="X56" s="22"/>
      <c r="Y56" s="22"/>
      <c r="Z56" s="22"/>
      <c r="AA56" s="22" t="s">
        <v>153</v>
      </c>
      <c r="AB56" s="22"/>
      <c r="AC56" s="22"/>
      <c r="AD56" s="13" t="s">
        <v>154</v>
      </c>
      <c r="AE56" s="9" t="s">
        <v>397</v>
      </c>
    </row>
    <row r="57" customFormat="false" ht="14.25" hidden="false" customHeight="true" outlineLevel="0" collapsed="false">
      <c r="A57" s="4" t="s">
        <v>91</v>
      </c>
      <c r="B57" s="5" t="s">
        <v>398</v>
      </c>
      <c r="C57" s="9" t="s">
        <v>399</v>
      </c>
      <c r="D57" s="5" t="s">
        <v>165</v>
      </c>
      <c r="E57" s="5" t="s">
        <v>400</v>
      </c>
      <c r="F57" s="11" t="str">
        <f aca="false">IF(COUNTIF(V57:AC57,"Y")=0,"",UPPER(MID(IF(V57="Y","/neurotoxic","")&amp;IF(W57="Y","/hemotoxic","")&amp;IF(X57="Y","/procoagulant","")&amp;IF(Y57="Y","/anticoagulant","")&amp;IF(Z57="Y","/hemorrhagic","")&amp;IF(AA57="Y","/cytotoxic","")&amp;IF(AB57="Y","/myotoxic","")&amp;IF(AC57="Y","/cardiotoxic",""),2,1))&amp;MID(IF(V57="Y","/neurotoxic","")&amp;IF(W57="Y","/hemotoxic","")&amp;IF(X57="Y","/procoagulant","")&amp;IF(Y57="Y","/anticoagulant","")&amp;IF(Z57="Y","/hemorrhagic","")&amp;IF(AA57="Y","/cytotoxic","")&amp;IF(AB57="Y","/myotoxic","")&amp;IF(AC57="Y","/cardiotoxic",""),3,200))</f>
        <v>Neurotoxic/hemotoxic/anticoagulant</v>
      </c>
      <c r="G57" s="19" t="n">
        <f aca="false">IFERROR(INDEX('LD50 Sources'!$C$2:$C$1000,MATCH($A57,'LD50 Sources'!$L$2:$L$1000,0)),"")</f>
        <v>0.56</v>
      </c>
      <c r="H57" s="11" t="str">
        <f aca="false">IFERROR(INDEX('LD50 Sources'!$D$2:$D$1000,MATCH($A57,'LD50 Sources'!$L$2:$L$1000,0))&amp;"","")</f>
        <v>SC</v>
      </c>
      <c r="I57" s="11" t="str">
        <f aca="false">IFERROR(INDEX('LD50 Sources'!$H$2:$H$1000,MATCH($A57,'LD50 Sources'!$L$2:$L$1000,0))&amp;"","")</f>
        <v>A</v>
      </c>
      <c r="J57" s="20" t="str">
        <f aca="false">IF(COUNTIFS('LD50 Sources'!$A$2:$A$1000,$A57,'LD50 Sources'!$K$2:$K$1000,1)&lt;2,"",ROUND(_xlfn.MAXIFS('LD50 Sources'!$C$2:$C$1000,'LD50 Sources'!$A$2:$A$1000,$A57,'LD50 Sources'!$K$2:$K$1000,1)/_xlfn.MINIFS('LD50 Sources'!$C$2:$C$1000,'LD50 Sources'!$A$2:$A$1000,$A57,'LD50 Sources'!$K$2:$K$1000,1),1))</f>
        <v/>
      </c>
      <c r="K57" s="21" t="n">
        <f aca="false">IFERROR(INDEX('Yield Sources'!$C$2:$C$1000,MATCH($A57,'Yield Sources'!$N$2:$N$1000,0)),"")</f>
        <v>26</v>
      </c>
      <c r="L57" s="21" t="n">
        <f aca="false">IFERROR(INDEX('Yield Sources'!$D$2:$D$1000,MATCH($A57,'Yield Sources'!$N$2:$N$1000,0)),"")</f>
        <v>85</v>
      </c>
      <c r="M57" s="11" t="str">
        <f aca="false">IFERROR(INDEX('Yield Sources'!$J$2:$J$1000,MATCH($A57,'Yield Sources'!$N$2:$N$1000,0))&amp;"","")</f>
        <v>C</v>
      </c>
      <c r="N57" s="20" t="str">
        <f aca="false">IF(COUNTIFS('Yield Sources'!$A$2:$A$1000,$A57,'Yield Sources'!$M$2:$M$1000,1)&lt;2,"",ROUND(_xlfn.MAXIFS('Yield Sources'!$D$2:$D$1000,'Yield Sources'!$A$2:$A$1000,$A57,'Yield Sources'!$M$2:$M$1000,1)/_xlfn.MINIFS('Yield Sources'!$D$2:$D$1000,'Yield Sources'!$A$2:$A$1000,$A57,'Yield Sources'!$M$2:$M$1000,1),1))</f>
        <v/>
      </c>
      <c r="O57" s="8" t="n">
        <v>3</v>
      </c>
      <c r="P57" s="8" t="n">
        <v>2</v>
      </c>
      <c r="Q57" s="5" t="s">
        <v>173</v>
      </c>
      <c r="R57" s="5" t="s">
        <v>151</v>
      </c>
      <c r="S57" s="11" t="str">
        <f aca="false">IFERROR(INDEX('Clinical Sources'!$M$2:$M$1000,MATCH($A57&amp;"|Annual deaths",'Clinical Sources'!$N$2:$N$1000,0)),"")</f>
        <v/>
      </c>
      <c r="T57" s="11" t="str">
        <f aca="false">IFERROR(INDEX('Clinical Sources'!$M$2:$M$1000,MATCH($A57&amp;"|Case-fatality rate",'Clinical Sources'!$N$2:$N$1000,0)),"")</f>
        <v/>
      </c>
      <c r="U57" s="9" t="s">
        <v>401</v>
      </c>
      <c r="V57" s="22" t="s">
        <v>153</v>
      </c>
      <c r="W57" s="22" t="s">
        <v>153</v>
      </c>
      <c r="X57" s="22"/>
      <c r="Y57" s="22" t="s">
        <v>153</v>
      </c>
      <c r="Z57" s="22"/>
      <c r="AA57" s="22"/>
      <c r="AB57" s="22"/>
      <c r="AC57" s="22"/>
      <c r="AD57" s="13" t="s">
        <v>154</v>
      </c>
      <c r="AE57" s="9" t="s">
        <v>402</v>
      </c>
    </row>
    <row r="58" customFormat="false" ht="14.25" hidden="false" customHeight="true" outlineLevel="0" collapsed="false">
      <c r="A58" s="4" t="s">
        <v>87</v>
      </c>
      <c r="B58" s="5" t="s">
        <v>403</v>
      </c>
      <c r="C58" s="9" t="s">
        <v>404</v>
      </c>
      <c r="D58" s="5" t="s">
        <v>148</v>
      </c>
      <c r="E58" s="5" t="s">
        <v>221</v>
      </c>
      <c r="F58" s="11" t="str">
        <f aca="false">IF(COUNTIF(V58:AC58,"Y")=0,"",UPPER(MID(IF(V58="Y","/neurotoxic","")&amp;IF(W58="Y","/hemotoxic","")&amp;IF(X58="Y","/procoagulant","")&amp;IF(Y58="Y","/anticoagulant","")&amp;IF(Z58="Y","/hemorrhagic","")&amp;IF(AA58="Y","/cytotoxic","")&amp;IF(AB58="Y","/myotoxic","")&amp;IF(AC58="Y","/cardiotoxic",""),2,1))&amp;MID(IF(V58="Y","/neurotoxic","")&amp;IF(W58="Y","/hemotoxic","")&amp;IF(X58="Y","/procoagulant","")&amp;IF(Y58="Y","/anticoagulant","")&amp;IF(Z58="Y","/hemorrhagic","")&amp;IF(AA58="Y","/cytotoxic","")&amp;IF(AB58="Y","/myotoxic","")&amp;IF(AC58="Y","/cardiotoxic",""),3,200))</f>
        <v>Hemotoxic</v>
      </c>
      <c r="G58" s="19" t="n">
        <f aca="false">IFERROR(INDEX('LD50 Sources'!$C$2:$C$1000,MATCH($A58,'LD50 Sources'!$L$2:$L$1000,0)),"")</f>
        <v>2.8</v>
      </c>
      <c r="H58" s="11" t="str">
        <f aca="false">IFERROR(INDEX('LD50 Sources'!$D$2:$D$1000,MATCH($A58,'LD50 Sources'!$L$2:$L$1000,0))&amp;"","")</f>
        <v>SC</v>
      </c>
      <c r="I58" s="11" t="str">
        <f aca="false">IFERROR(INDEX('LD50 Sources'!$H$2:$H$1000,MATCH($A58,'LD50 Sources'!$L$2:$L$1000,0))&amp;"","")</f>
        <v>C</v>
      </c>
      <c r="J58" s="20" t="str">
        <f aca="false">IF(COUNTIFS('LD50 Sources'!$A$2:$A$1000,$A58,'LD50 Sources'!$K$2:$K$1000,1)&lt;2,"",ROUND(_xlfn.MAXIFS('LD50 Sources'!$C$2:$C$1000,'LD50 Sources'!$A$2:$A$1000,$A58,'LD50 Sources'!$K$2:$K$1000,1)/_xlfn.MINIFS('LD50 Sources'!$C$2:$C$1000,'LD50 Sources'!$A$2:$A$1000,$A58,'LD50 Sources'!$K$2:$K$1000,1),1))</f>
        <v/>
      </c>
      <c r="K58" s="21" t="n">
        <f aca="false">IFERROR(INDEX('Yield Sources'!$C$2:$C$1000,MATCH($A58,'Yield Sources'!$N$2:$N$1000,0)),"")</f>
        <v>12</v>
      </c>
      <c r="L58" s="21" t="n">
        <f aca="false">IFERROR(INDEX('Yield Sources'!$D$2:$D$1000,MATCH($A58,'Yield Sources'!$N$2:$N$1000,0)),"")</f>
        <v>35</v>
      </c>
      <c r="M58" s="11" t="str">
        <f aca="false">IFERROR(INDEX('Yield Sources'!$J$2:$J$1000,MATCH($A58,'Yield Sources'!$N$2:$N$1000,0))&amp;"","")</f>
        <v>C</v>
      </c>
      <c r="N58" s="20" t="str">
        <f aca="false">IF(COUNTIFS('Yield Sources'!$A$2:$A$1000,$A58,'Yield Sources'!$M$2:$M$1000,1)&lt;2,"",ROUND(_xlfn.MAXIFS('Yield Sources'!$D$2:$D$1000,'Yield Sources'!$A$2:$A$1000,$A58,'Yield Sources'!$M$2:$M$1000,1)/_xlfn.MINIFS('Yield Sources'!$D$2:$D$1000,'Yield Sources'!$A$2:$A$1000,$A58,'Yield Sources'!$M$2:$M$1000,1),1))</f>
        <v/>
      </c>
      <c r="O58" s="8" t="n">
        <v>3</v>
      </c>
      <c r="P58" s="8" t="n">
        <v>2</v>
      </c>
      <c r="Q58" s="5" t="s">
        <v>159</v>
      </c>
      <c r="R58" s="5" t="s">
        <v>151</v>
      </c>
      <c r="S58" s="11" t="str">
        <f aca="false">IFERROR(INDEX('Clinical Sources'!$M$2:$M$1000,MATCH($A58&amp;"|Annual deaths",'Clinical Sources'!$N$2:$N$1000,0)),"")</f>
        <v/>
      </c>
      <c r="T58" s="11" t="str">
        <f aca="false">IFERROR(INDEX('Clinical Sources'!$M$2:$M$1000,MATCH($A58&amp;"|Case-fatality rate",'Clinical Sources'!$N$2:$N$1000,0)),"")</f>
        <v/>
      </c>
      <c r="U58" s="9" t="s">
        <v>405</v>
      </c>
      <c r="V58" s="22"/>
      <c r="W58" s="22" t="s">
        <v>153</v>
      </c>
      <c r="X58" s="22"/>
      <c r="Y58" s="22"/>
      <c r="Z58" s="22"/>
      <c r="AA58" s="22"/>
      <c r="AB58" s="22"/>
      <c r="AC58" s="22"/>
      <c r="AD58" s="13" t="s">
        <v>154</v>
      </c>
      <c r="AE58" s="9" t="s">
        <v>406</v>
      </c>
    </row>
    <row r="59" customFormat="false" ht="39" hidden="false" customHeight="true" outlineLevel="0" collapsed="false">
      <c r="A59" s="4" t="s">
        <v>90</v>
      </c>
      <c r="B59" s="5" t="s">
        <v>407</v>
      </c>
      <c r="C59" s="9" t="s">
        <v>408</v>
      </c>
      <c r="D59" s="5" t="s">
        <v>148</v>
      </c>
      <c r="E59" s="5" t="s">
        <v>409</v>
      </c>
      <c r="F59" s="11" t="str">
        <f aca="false">IF(COUNTIF(V59:AC59,"Y")=0,"",UPPER(MID(IF(V59="Y","/neurotoxic","")&amp;IF(W59="Y","/hemotoxic","")&amp;IF(X59="Y","/procoagulant","")&amp;IF(Y59="Y","/anticoagulant","")&amp;IF(Z59="Y","/hemorrhagic","")&amp;IF(AA59="Y","/cytotoxic","")&amp;IF(AB59="Y","/myotoxic","")&amp;IF(AC59="Y","/cardiotoxic",""),2,1))&amp;MID(IF(V59="Y","/neurotoxic","")&amp;IF(W59="Y","/hemotoxic","")&amp;IF(X59="Y","/procoagulant","")&amp;IF(Y59="Y","/anticoagulant","")&amp;IF(Z59="Y","/hemorrhagic","")&amp;IF(AA59="Y","/cytotoxic","")&amp;IF(AB59="Y","/myotoxic","")&amp;IF(AC59="Y","/cardiotoxic",""),3,200))</f>
        <v>Hemotoxic</v>
      </c>
      <c r="G59" s="19" t="n">
        <f aca="false">IFERROR(INDEX('LD50 Sources'!$C$2:$C$1000,MATCH($A59,'LD50 Sources'!$L$2:$L$1000,0)),"")</f>
        <v>10.9</v>
      </c>
      <c r="H59" s="11" t="str">
        <f aca="false">IFERROR(INDEX('LD50 Sources'!$D$2:$D$1000,MATCH($A59,'LD50 Sources'!$L$2:$L$1000,0))&amp;"","")</f>
        <v>SC</v>
      </c>
      <c r="I59" s="11" t="str">
        <f aca="false">IFERROR(INDEX('LD50 Sources'!$H$2:$H$1000,MATCH($A59,'LD50 Sources'!$L$2:$L$1000,0))&amp;"","")</f>
        <v>C</v>
      </c>
      <c r="J59" s="20" t="str">
        <f aca="false">IF(COUNTIFS('LD50 Sources'!$A$2:$A$1000,$A59,'LD50 Sources'!$K$2:$K$1000,1)&lt;2,"",ROUND(_xlfn.MAXIFS('LD50 Sources'!$C$2:$C$1000,'LD50 Sources'!$A$2:$A$1000,$A59,'LD50 Sources'!$K$2:$K$1000,1)/_xlfn.MINIFS('LD50 Sources'!$C$2:$C$1000,'LD50 Sources'!$A$2:$A$1000,$A59,'LD50 Sources'!$K$2:$K$1000,1),1))</f>
        <v/>
      </c>
      <c r="K59" s="21" t="n">
        <f aca="false">IFERROR(INDEX('Yield Sources'!$C$2:$C$1000,MATCH($A59,'Yield Sources'!$N$2:$N$1000,0)),"")</f>
        <v>40</v>
      </c>
      <c r="L59" s="21" t="n">
        <f aca="false">IFERROR(INDEX('Yield Sources'!$D$2:$D$1000,MATCH($A59,'Yield Sources'!$N$2:$N$1000,0)),"")</f>
        <v>75</v>
      </c>
      <c r="M59" s="11" t="str">
        <f aca="false">IFERROR(INDEX('Yield Sources'!$J$2:$J$1000,MATCH($A59,'Yield Sources'!$N$2:$N$1000,0))&amp;"","")</f>
        <v>C</v>
      </c>
      <c r="N59" s="20" t="str">
        <f aca="false">IF(COUNTIFS('Yield Sources'!$A$2:$A$1000,$A59,'Yield Sources'!$M$2:$M$1000,1)&lt;2,"",ROUND(_xlfn.MAXIFS('Yield Sources'!$D$2:$D$1000,'Yield Sources'!$A$2:$A$1000,$A59,'Yield Sources'!$M$2:$M$1000,1)/_xlfn.MINIFS('Yield Sources'!$D$2:$D$1000,'Yield Sources'!$A$2:$A$1000,$A59,'Yield Sources'!$M$2:$M$1000,1),1))</f>
        <v/>
      </c>
      <c r="O59" s="8" t="n">
        <v>7</v>
      </c>
      <c r="P59" s="8" t="n">
        <v>4</v>
      </c>
      <c r="Q59" s="5" t="s">
        <v>159</v>
      </c>
      <c r="R59" s="5" t="s">
        <v>151</v>
      </c>
      <c r="S59" s="11" t="str">
        <f aca="false">IFERROR(INDEX('Clinical Sources'!$M$2:$M$1000,MATCH($A59&amp;"|Annual deaths",'Clinical Sources'!$N$2:$N$1000,0)),"")</f>
        <v/>
      </c>
      <c r="T59" s="11" t="str">
        <f aca="false">IFERROR(INDEX('Clinical Sources'!$M$2:$M$1000,MATCH($A59&amp;"|Case-fatality rate",'Clinical Sources'!$N$2:$N$1000,0)),"")</f>
        <v/>
      </c>
      <c r="U59" s="9" t="s">
        <v>410</v>
      </c>
      <c r="V59" s="22"/>
      <c r="W59" s="22" t="s">
        <v>153</v>
      </c>
      <c r="X59" s="22"/>
      <c r="Y59" s="22"/>
      <c r="Z59" s="22"/>
      <c r="AA59" s="22"/>
      <c r="AB59" s="22"/>
      <c r="AC59" s="22"/>
      <c r="AD59" s="13" t="s">
        <v>154</v>
      </c>
      <c r="AE59" s="9" t="s">
        <v>411</v>
      </c>
    </row>
    <row r="60" customFormat="false" ht="14.25" hidden="false" customHeight="true" outlineLevel="0" collapsed="false">
      <c r="A60" s="4" t="s">
        <v>68</v>
      </c>
      <c r="B60" s="5" t="s">
        <v>412</v>
      </c>
      <c r="C60" s="9"/>
      <c r="D60" s="5" t="s">
        <v>148</v>
      </c>
      <c r="E60" s="5" t="s">
        <v>413</v>
      </c>
      <c r="F60" s="11" t="str">
        <f aca="false">IF(COUNTIF(V60:AC60,"Y")=0,"",UPPER(MID(IF(V60="Y","/neurotoxic","")&amp;IF(W60="Y","/hemotoxic","")&amp;IF(X60="Y","/procoagulant","")&amp;IF(Y60="Y","/anticoagulant","")&amp;IF(Z60="Y","/hemorrhagic","")&amp;IF(AA60="Y","/cytotoxic","")&amp;IF(AB60="Y","/myotoxic","")&amp;IF(AC60="Y","/cardiotoxic",""),2,1))&amp;MID(IF(V60="Y","/neurotoxic","")&amp;IF(W60="Y","/hemotoxic","")&amp;IF(X60="Y","/procoagulant","")&amp;IF(Y60="Y","/anticoagulant","")&amp;IF(Z60="Y","/hemorrhagic","")&amp;IF(AA60="Y","/cytotoxic","")&amp;IF(AB60="Y","/myotoxic","")&amp;IF(AC60="Y","/cardiotoxic",""),3,200))</f>
        <v>Hemotoxic</v>
      </c>
      <c r="G60" s="19" t="n">
        <f aca="false">IFERROR(INDEX('LD50 Sources'!$C$2:$C$1000,MATCH($A60,'LD50 Sources'!$L$2:$L$1000,0)),"")</f>
        <v>3.7</v>
      </c>
      <c r="H60" s="11" t="str">
        <f aca="false">IFERROR(INDEX('LD50 Sources'!$D$2:$D$1000,MATCH($A60,'LD50 Sources'!$L$2:$L$1000,0))&amp;"","")</f>
        <v>SC</v>
      </c>
      <c r="I60" s="11" t="str">
        <f aca="false">IFERROR(INDEX('LD50 Sources'!$H$2:$H$1000,MATCH($A60,'LD50 Sources'!$L$2:$L$1000,0))&amp;"","")</f>
        <v>C</v>
      </c>
      <c r="J60" s="20" t="str">
        <f aca="false">IF(COUNTIFS('LD50 Sources'!$A$2:$A$1000,$A60,'LD50 Sources'!$K$2:$K$1000,1)&lt;2,"",ROUND(_xlfn.MAXIFS('LD50 Sources'!$C$2:$C$1000,'LD50 Sources'!$A$2:$A$1000,$A60,'LD50 Sources'!$K$2:$K$1000,1)/_xlfn.MINIFS('LD50 Sources'!$C$2:$C$1000,'LD50 Sources'!$A$2:$A$1000,$A60,'LD50 Sources'!$K$2:$K$1000,1),1))</f>
        <v/>
      </c>
      <c r="K60" s="21" t="n">
        <f aca="false">IFERROR(INDEX('Yield Sources'!$C$2:$C$1000,MATCH($A60,'Yield Sources'!$N$2:$N$1000,0)),"")</f>
        <v>120</v>
      </c>
      <c r="L60" s="21" t="n">
        <f aca="false">IFERROR(INDEX('Yield Sources'!$D$2:$D$1000,MATCH($A60,'Yield Sources'!$N$2:$N$1000,0)),"")</f>
        <v>450</v>
      </c>
      <c r="M60" s="11" t="str">
        <f aca="false">IFERROR(INDEX('Yield Sources'!$J$2:$J$1000,MATCH($A60,'Yield Sources'!$N$2:$N$1000,0))&amp;"","")</f>
        <v>C</v>
      </c>
      <c r="N60" s="20" t="str">
        <f aca="false">IF(COUNTIFS('Yield Sources'!$A$2:$A$1000,$A60,'Yield Sources'!$M$2:$M$1000,1)&lt;2,"",ROUND(_xlfn.MAXIFS('Yield Sources'!$D$2:$D$1000,'Yield Sources'!$A$2:$A$1000,$A60,'Yield Sources'!$M$2:$M$1000,1)/_xlfn.MINIFS('Yield Sources'!$D$2:$D$1000,'Yield Sources'!$A$2:$A$1000,$A60,'Yield Sources'!$M$2:$M$1000,1),1))</f>
        <v/>
      </c>
      <c r="O60" s="8" t="n">
        <v>4</v>
      </c>
      <c r="P60" s="8" t="n">
        <v>2</v>
      </c>
      <c r="Q60" s="5" t="s">
        <v>159</v>
      </c>
      <c r="R60" s="5" t="s">
        <v>151</v>
      </c>
      <c r="S60" s="11" t="str">
        <f aca="false">IFERROR(INDEX('Clinical Sources'!$M$2:$M$1000,MATCH($A60&amp;"|Annual deaths",'Clinical Sources'!$N$2:$N$1000,0)),"")</f>
        <v/>
      </c>
      <c r="T60" s="11" t="str">
        <f aca="false">IFERROR(INDEX('Clinical Sources'!$M$2:$M$1000,MATCH($A60&amp;"|Case-fatality rate",'Clinical Sources'!$N$2:$N$1000,0)),"")</f>
        <v/>
      </c>
      <c r="U60" s="9" t="s">
        <v>414</v>
      </c>
      <c r="V60" s="22"/>
      <c r="W60" s="22" t="s">
        <v>153</v>
      </c>
      <c r="X60" s="22"/>
      <c r="Y60" s="22"/>
      <c r="Z60" s="22"/>
      <c r="AA60" s="22"/>
      <c r="AB60" s="22"/>
      <c r="AC60" s="22"/>
      <c r="AD60" s="13" t="s">
        <v>154</v>
      </c>
      <c r="AE60" s="9" t="s">
        <v>415</v>
      </c>
    </row>
    <row r="61" customFormat="false" ht="14.25" hidden="false" customHeight="true" outlineLevel="0" collapsed="false">
      <c r="A61" s="4" t="s">
        <v>88</v>
      </c>
      <c r="B61" s="5" t="s">
        <v>416</v>
      </c>
      <c r="C61" s="9" t="s">
        <v>417</v>
      </c>
      <c r="D61" s="5" t="s">
        <v>148</v>
      </c>
      <c r="E61" s="5" t="s">
        <v>212</v>
      </c>
      <c r="F61" s="11" t="str">
        <f aca="false">IF(COUNTIF(V61:AC61,"Y")=0,"",UPPER(MID(IF(V61="Y","/neurotoxic","")&amp;IF(W61="Y","/hemotoxic","")&amp;IF(X61="Y","/procoagulant","")&amp;IF(Y61="Y","/anticoagulant","")&amp;IF(Z61="Y","/hemorrhagic","")&amp;IF(AA61="Y","/cytotoxic","")&amp;IF(AB61="Y","/myotoxic","")&amp;IF(AC61="Y","/cardiotoxic",""),2,1))&amp;MID(IF(V61="Y","/neurotoxic","")&amp;IF(W61="Y","/hemotoxic","")&amp;IF(X61="Y","/procoagulant","")&amp;IF(Y61="Y","/anticoagulant","")&amp;IF(Z61="Y","/hemorrhagic","")&amp;IF(AA61="Y","/cytotoxic","")&amp;IF(AB61="Y","/myotoxic","")&amp;IF(AC61="Y","/cardiotoxic",""),3,200))</f>
        <v>Hemotoxic</v>
      </c>
      <c r="G61" s="19" t="n">
        <f aca="false">IFERROR(INDEX('LD50 Sources'!$C$2:$C$1000,MATCH($A61,'LD50 Sources'!$L$2:$L$1000,0)),"")</f>
        <v>9</v>
      </c>
      <c r="H61" s="11" t="str">
        <f aca="false">IFERROR(INDEX('LD50 Sources'!$D$2:$D$1000,MATCH($A61,'LD50 Sources'!$L$2:$L$1000,0))&amp;"","")</f>
        <v>SC</v>
      </c>
      <c r="I61" s="11" t="str">
        <f aca="false">IFERROR(INDEX('LD50 Sources'!$H$2:$H$1000,MATCH($A61,'LD50 Sources'!$L$2:$L$1000,0))&amp;"","")</f>
        <v>C</v>
      </c>
      <c r="J61" s="20" t="str">
        <f aca="false">IF(COUNTIFS('LD50 Sources'!$A$2:$A$1000,$A61,'LD50 Sources'!$K$2:$K$1000,1)&lt;2,"",ROUND(_xlfn.MAXIFS('LD50 Sources'!$C$2:$C$1000,'LD50 Sources'!$A$2:$A$1000,$A61,'LD50 Sources'!$K$2:$K$1000,1)/_xlfn.MINIFS('LD50 Sources'!$C$2:$C$1000,'LD50 Sources'!$A$2:$A$1000,$A61,'LD50 Sources'!$K$2:$K$1000,1),1))</f>
        <v/>
      </c>
      <c r="K61" s="21" t="n">
        <f aca="false">IFERROR(INDEX('Yield Sources'!$C$2:$C$1000,MATCH($A61,'Yield Sources'!$N$2:$N$1000,0)),"")</f>
        <v>129</v>
      </c>
      <c r="L61" s="21" t="n">
        <f aca="false">IFERROR(INDEX('Yield Sources'!$D$2:$D$1000,MATCH($A61,'Yield Sources'!$N$2:$N$1000,0)),"")</f>
        <v>129</v>
      </c>
      <c r="M61" s="11" t="str">
        <f aca="false">IFERROR(INDEX('Yield Sources'!$J$2:$J$1000,MATCH($A61,'Yield Sources'!$N$2:$N$1000,0))&amp;"","")</f>
        <v>C</v>
      </c>
      <c r="N61" s="20" t="str">
        <f aca="false">IF(COUNTIFS('Yield Sources'!$A$2:$A$1000,$A61,'Yield Sources'!$M$2:$M$1000,1)&lt;2,"",ROUND(_xlfn.MAXIFS('Yield Sources'!$D$2:$D$1000,'Yield Sources'!$A$2:$A$1000,$A61,'Yield Sources'!$M$2:$M$1000,1)/_xlfn.MINIFS('Yield Sources'!$D$2:$D$1000,'Yield Sources'!$A$2:$A$1000,$A61,'Yield Sources'!$M$2:$M$1000,1),1))</f>
        <v/>
      </c>
      <c r="O61" s="8" t="n">
        <v>3</v>
      </c>
      <c r="P61" s="8" t="n">
        <v>2</v>
      </c>
      <c r="Q61" s="5" t="s">
        <v>159</v>
      </c>
      <c r="R61" s="5" t="s">
        <v>151</v>
      </c>
      <c r="S61" s="11" t="str">
        <f aca="false">IFERROR(INDEX('Clinical Sources'!$M$2:$M$1000,MATCH($A61&amp;"|Annual deaths",'Clinical Sources'!$N$2:$N$1000,0)),"")</f>
        <v/>
      </c>
      <c r="T61" s="11" t="str">
        <f aca="false">IFERROR(INDEX('Clinical Sources'!$M$2:$M$1000,MATCH($A61&amp;"|Case-fatality rate",'Clinical Sources'!$N$2:$N$1000,0)),"")</f>
        <v/>
      </c>
      <c r="U61" s="9" t="s">
        <v>418</v>
      </c>
      <c r="V61" s="22"/>
      <c r="W61" s="22" t="s">
        <v>153</v>
      </c>
      <c r="X61" s="22"/>
      <c r="Y61" s="22"/>
      <c r="Z61" s="22"/>
      <c r="AA61" s="22"/>
      <c r="AB61" s="22"/>
      <c r="AC61" s="22"/>
      <c r="AD61" s="13" t="s">
        <v>154</v>
      </c>
      <c r="AE61" s="9" t="s">
        <v>419</v>
      </c>
    </row>
    <row r="62" customFormat="false" ht="39" hidden="false" customHeight="true" outlineLevel="0" collapsed="false">
      <c r="A62" s="4" t="s">
        <v>69</v>
      </c>
      <c r="B62" s="5" t="s">
        <v>420</v>
      </c>
      <c r="C62" s="9" t="s">
        <v>421</v>
      </c>
      <c r="D62" s="5" t="s">
        <v>148</v>
      </c>
      <c r="E62" s="5" t="s">
        <v>422</v>
      </c>
      <c r="F62" s="11" t="str">
        <f aca="false">IF(COUNTIF(V62:AC62,"Y")=0,"",UPPER(MID(IF(V62="Y","/neurotoxic","")&amp;IF(W62="Y","/hemotoxic","")&amp;IF(X62="Y","/procoagulant","")&amp;IF(Y62="Y","/anticoagulant","")&amp;IF(Z62="Y","/hemorrhagic","")&amp;IF(AA62="Y","/cytotoxic","")&amp;IF(AB62="Y","/myotoxic","")&amp;IF(AC62="Y","/cardiotoxic",""),2,1))&amp;MID(IF(V62="Y","/neurotoxic","")&amp;IF(W62="Y","/hemotoxic","")&amp;IF(X62="Y","/procoagulant","")&amp;IF(Y62="Y","/anticoagulant","")&amp;IF(Z62="Y","/hemorrhagic","")&amp;IF(AA62="Y","/cytotoxic","")&amp;IF(AB62="Y","/myotoxic","")&amp;IF(AC62="Y","/cardiotoxic",""),3,200))</f>
        <v>Hemotoxic</v>
      </c>
      <c r="G62" s="19" t="n">
        <f aca="false">IFERROR(INDEX('LD50 Sources'!$C$2:$C$1000,MATCH($A62,'LD50 Sources'!$L$2:$L$1000,0)),"")</f>
        <v>4.5</v>
      </c>
      <c r="H62" s="11" t="str">
        <f aca="false">IFERROR(INDEX('LD50 Sources'!$D$2:$D$1000,MATCH($A62,'LD50 Sources'!$L$2:$L$1000,0))&amp;"","")</f>
        <v>SC</v>
      </c>
      <c r="I62" s="11" t="str">
        <f aca="false">IFERROR(INDEX('LD50 Sources'!$H$2:$H$1000,MATCH($A62,'LD50 Sources'!$L$2:$L$1000,0))&amp;"","")</f>
        <v>C</v>
      </c>
      <c r="J62" s="20" t="str">
        <f aca="false">IF(COUNTIFS('LD50 Sources'!$A$2:$A$1000,$A62,'LD50 Sources'!$K$2:$K$1000,1)&lt;2,"",ROUND(_xlfn.MAXIFS('LD50 Sources'!$C$2:$C$1000,'LD50 Sources'!$A$2:$A$1000,$A62,'LD50 Sources'!$K$2:$K$1000,1)/_xlfn.MINIFS('LD50 Sources'!$C$2:$C$1000,'LD50 Sources'!$A$2:$A$1000,$A62,'LD50 Sources'!$K$2:$K$1000,1),1))</f>
        <v/>
      </c>
      <c r="K62" s="21" t="n">
        <f aca="false">IFERROR(INDEX('Yield Sources'!$C$2:$C$1000,MATCH($A62,'Yield Sources'!$N$2:$N$1000,0)),"")</f>
        <v>200</v>
      </c>
      <c r="L62" s="21" t="n">
        <f aca="false">IFERROR(INDEX('Yield Sources'!$D$2:$D$1000,MATCH($A62,'Yield Sources'!$N$2:$N$1000,0)),"")</f>
        <v>500</v>
      </c>
      <c r="M62" s="11" t="str">
        <f aca="false">IFERROR(INDEX('Yield Sources'!$J$2:$J$1000,MATCH($A62,'Yield Sources'!$N$2:$N$1000,0))&amp;"","")</f>
        <v>C</v>
      </c>
      <c r="N62" s="20" t="str">
        <f aca="false">IF(COUNTIFS('Yield Sources'!$A$2:$A$1000,$A62,'Yield Sources'!$M$2:$M$1000,1)&lt;2,"",ROUND(_xlfn.MAXIFS('Yield Sources'!$D$2:$D$1000,'Yield Sources'!$A$2:$A$1000,$A62,'Yield Sources'!$M$2:$M$1000,1)/_xlfn.MINIFS('Yield Sources'!$D$2:$D$1000,'Yield Sources'!$A$2:$A$1000,$A62,'Yield Sources'!$M$2:$M$1000,1),1))</f>
        <v/>
      </c>
      <c r="O62" s="8" t="n">
        <v>3</v>
      </c>
      <c r="P62" s="8" t="n">
        <v>3</v>
      </c>
      <c r="Q62" s="5" t="s">
        <v>150</v>
      </c>
      <c r="R62" s="5" t="s">
        <v>174</v>
      </c>
      <c r="S62" s="11" t="str">
        <f aca="false">IFERROR(INDEX('Clinical Sources'!$M$2:$M$1000,MATCH($A62&amp;"|Annual deaths",'Clinical Sources'!$N$2:$N$1000,0)),"")</f>
        <v/>
      </c>
      <c r="T62" s="11" t="str">
        <f aca="false">IFERROR(INDEX('Clinical Sources'!$M$2:$M$1000,MATCH($A62&amp;"|Case-fatality rate",'Clinical Sources'!$N$2:$N$1000,0)),"")</f>
        <v/>
      </c>
      <c r="U62" s="9" t="s">
        <v>423</v>
      </c>
      <c r="V62" s="22"/>
      <c r="W62" s="22" t="s">
        <v>153</v>
      </c>
      <c r="X62" s="22"/>
      <c r="Y62" s="22"/>
      <c r="Z62" s="22"/>
      <c r="AA62" s="22"/>
      <c r="AB62" s="22"/>
      <c r="AC62" s="22"/>
      <c r="AD62" s="13" t="s">
        <v>154</v>
      </c>
      <c r="AE62" s="9" t="s">
        <v>424</v>
      </c>
    </row>
    <row r="63" customFormat="false" ht="14.25" hidden="false" customHeight="true" outlineLevel="0" collapsed="false">
      <c r="A63" s="4" t="s">
        <v>79</v>
      </c>
      <c r="B63" s="5" t="s">
        <v>425</v>
      </c>
      <c r="C63" s="9" t="s">
        <v>426</v>
      </c>
      <c r="D63" s="5" t="s">
        <v>165</v>
      </c>
      <c r="E63" s="5" t="s">
        <v>172</v>
      </c>
      <c r="F63" s="11" t="str">
        <f aca="false">IF(COUNTIF(V63:AC63,"Y")=0,"",UPPER(MID(IF(V63="Y","/neurotoxic","")&amp;IF(W63="Y","/hemotoxic","")&amp;IF(X63="Y","/procoagulant","")&amp;IF(Y63="Y","/anticoagulant","")&amp;IF(Z63="Y","/hemorrhagic","")&amp;IF(AA63="Y","/cytotoxic","")&amp;IF(AB63="Y","/myotoxic","")&amp;IF(AC63="Y","/cardiotoxic",""),2,1))&amp;MID(IF(V63="Y","/neurotoxic","")&amp;IF(W63="Y","/hemotoxic","")&amp;IF(X63="Y","/procoagulant","")&amp;IF(Y63="Y","/anticoagulant","")&amp;IF(Z63="Y","/hemorrhagic","")&amp;IF(AA63="Y","/cytotoxic","")&amp;IF(AB63="Y","/myotoxic","")&amp;IF(AC63="Y","/cardiotoxic",""),3,200))</f>
        <v>Neurotoxic/myotoxic</v>
      </c>
      <c r="G63" s="19" t="n">
        <f aca="false">IFERROR(INDEX('LD50 Sources'!$C$2:$C$1000,MATCH($A63,'LD50 Sources'!$L$2:$L$1000,0)),"")</f>
        <v>0.35</v>
      </c>
      <c r="H63" s="11" t="str">
        <f aca="false">IFERROR(INDEX('LD50 Sources'!$D$2:$D$1000,MATCH($A63,'LD50 Sources'!$L$2:$L$1000,0))&amp;"","")</f>
        <v>SC</v>
      </c>
      <c r="I63" s="11" t="str">
        <f aca="false">IFERROR(INDEX('LD50 Sources'!$H$2:$H$1000,MATCH($A63,'LD50 Sources'!$L$2:$L$1000,0))&amp;"","")</f>
        <v>C</v>
      </c>
      <c r="J63" s="20" t="str">
        <f aca="false">IF(COUNTIFS('LD50 Sources'!$A$2:$A$1000,$A63,'LD50 Sources'!$K$2:$K$1000,1)&lt;2,"",ROUND(_xlfn.MAXIFS('LD50 Sources'!$C$2:$C$1000,'LD50 Sources'!$A$2:$A$1000,$A63,'LD50 Sources'!$K$2:$K$1000,1)/_xlfn.MINIFS('LD50 Sources'!$C$2:$C$1000,'LD50 Sources'!$A$2:$A$1000,$A63,'LD50 Sources'!$K$2:$K$1000,1),1))</f>
        <v/>
      </c>
      <c r="K63" s="21" t="n">
        <f aca="false">IFERROR(INDEX('Yield Sources'!$C$2:$C$1000,MATCH($A63,'Yield Sources'!$N$2:$N$1000,0)),"")</f>
        <v>5</v>
      </c>
      <c r="L63" s="21" t="n">
        <f aca="false">IFERROR(INDEX('Yield Sources'!$D$2:$D$1000,MATCH($A63,'Yield Sources'!$N$2:$N$1000,0)),"")</f>
        <v>8</v>
      </c>
      <c r="M63" s="11" t="str">
        <f aca="false">IFERROR(INDEX('Yield Sources'!$J$2:$J$1000,MATCH($A63,'Yield Sources'!$N$2:$N$1000,0))&amp;"","")</f>
        <v>C</v>
      </c>
      <c r="N63" s="20" t="str">
        <f aca="false">IF(COUNTIFS('Yield Sources'!$A$2:$A$1000,$A63,'Yield Sources'!$M$2:$M$1000,1)&lt;2,"",ROUND(_xlfn.MAXIFS('Yield Sources'!$D$2:$D$1000,'Yield Sources'!$A$2:$A$1000,$A63,'Yield Sources'!$M$2:$M$1000,1)/_xlfn.MINIFS('Yield Sources'!$D$2:$D$1000,'Yield Sources'!$A$2:$A$1000,$A63,'Yield Sources'!$M$2:$M$1000,1),1))</f>
        <v/>
      </c>
      <c r="O63" s="8" t="n">
        <v>1</v>
      </c>
      <c r="P63" s="8" t="n">
        <v>1</v>
      </c>
      <c r="Q63" s="5" t="s">
        <v>173</v>
      </c>
      <c r="R63" s="5" t="s">
        <v>174</v>
      </c>
      <c r="S63" s="11" t="str">
        <f aca="false">IFERROR(INDEX('Clinical Sources'!$M$2:$M$1000,MATCH($A63&amp;"|Annual deaths",'Clinical Sources'!$N$2:$N$1000,0)),"")</f>
        <v/>
      </c>
      <c r="T63" s="11" t="str">
        <f aca="false">IFERROR(INDEX('Clinical Sources'!$M$2:$M$1000,MATCH($A63&amp;"|Case-fatality rate",'Clinical Sources'!$N$2:$N$1000,0)),"")</f>
        <v/>
      </c>
      <c r="U63" s="9" t="s">
        <v>427</v>
      </c>
      <c r="V63" s="22" t="s">
        <v>153</v>
      </c>
      <c r="W63" s="22"/>
      <c r="X63" s="22"/>
      <c r="Y63" s="22"/>
      <c r="Z63" s="22"/>
      <c r="AA63" s="22"/>
      <c r="AB63" s="22" t="s">
        <v>153</v>
      </c>
      <c r="AC63" s="22"/>
      <c r="AD63" s="13" t="s">
        <v>154</v>
      </c>
      <c r="AE63" s="9" t="s">
        <v>428</v>
      </c>
    </row>
    <row r="64" customFormat="false" ht="14.25" hidden="false" customHeight="true" outlineLevel="0" collapsed="false">
      <c r="A64" s="4" t="s">
        <v>61</v>
      </c>
      <c r="B64" s="5" t="s">
        <v>429</v>
      </c>
      <c r="C64" s="9" t="s">
        <v>430</v>
      </c>
      <c r="D64" s="5" t="s">
        <v>165</v>
      </c>
      <c r="E64" s="5" t="s">
        <v>431</v>
      </c>
      <c r="F64" s="11" t="str">
        <f aca="false">IF(COUNTIF(V64:AC64,"Y")=0,"",UPPER(MID(IF(V64="Y","/neurotoxic","")&amp;IF(W64="Y","/hemotoxic","")&amp;IF(X64="Y","/procoagulant","")&amp;IF(Y64="Y","/anticoagulant","")&amp;IF(Z64="Y","/hemorrhagic","")&amp;IF(AA64="Y","/cytotoxic","")&amp;IF(AB64="Y","/myotoxic","")&amp;IF(AC64="Y","/cardiotoxic",""),2,1))&amp;MID(IF(V64="Y","/neurotoxic","")&amp;IF(W64="Y","/hemotoxic","")&amp;IF(X64="Y","/procoagulant","")&amp;IF(Y64="Y","/anticoagulant","")&amp;IF(Z64="Y","/hemorrhagic","")&amp;IF(AA64="Y","/cytotoxic","")&amp;IF(AB64="Y","/myotoxic","")&amp;IF(AC64="Y","/cardiotoxic",""),3,200))</f>
        <v>Neurotoxic/myotoxic</v>
      </c>
      <c r="G64" s="19" t="n">
        <f aca="false">IFERROR(INDEX('LD50 Sources'!$C$2:$C$1000,MATCH($A64,'LD50 Sources'!$L$2:$L$1000,0)),"")</f>
        <v>0.27</v>
      </c>
      <c r="H64" s="11" t="str">
        <f aca="false">IFERROR(INDEX('LD50 Sources'!$D$2:$D$1000,MATCH($A64,'LD50 Sources'!$L$2:$L$1000,0))&amp;"","")</f>
        <v>SC</v>
      </c>
      <c r="I64" s="11" t="str">
        <f aca="false">IFERROR(INDEX('LD50 Sources'!$H$2:$H$1000,MATCH($A64,'LD50 Sources'!$L$2:$L$1000,0))&amp;"","")</f>
        <v>C</v>
      </c>
      <c r="J64" s="20" t="str">
        <f aca="false">IF(COUNTIFS('LD50 Sources'!$A$2:$A$1000,$A64,'LD50 Sources'!$K$2:$K$1000,1)&lt;2,"",ROUND(_xlfn.MAXIFS('LD50 Sources'!$C$2:$C$1000,'LD50 Sources'!$A$2:$A$1000,$A64,'LD50 Sources'!$K$2:$K$1000,1)/_xlfn.MINIFS('LD50 Sources'!$C$2:$C$1000,'LD50 Sources'!$A$2:$A$1000,$A64,'LD50 Sources'!$K$2:$K$1000,1),1))</f>
        <v/>
      </c>
      <c r="K64" s="21" t="n">
        <f aca="false">IFERROR(INDEX('Yield Sources'!$C$2:$C$1000,MATCH($A64,'Yield Sources'!$N$2:$N$1000,0)),"")</f>
        <v>9</v>
      </c>
      <c r="L64" s="21" t="n">
        <f aca="false">IFERROR(INDEX('Yield Sources'!$D$2:$D$1000,MATCH($A64,'Yield Sources'!$N$2:$N$1000,0)),"")</f>
        <v>24</v>
      </c>
      <c r="M64" s="11" t="str">
        <f aca="false">IFERROR(INDEX('Yield Sources'!$J$2:$J$1000,MATCH($A64,'Yield Sources'!$N$2:$N$1000,0))&amp;"","")</f>
        <v>C</v>
      </c>
      <c r="N64" s="20" t="str">
        <f aca="false">IF(COUNTIFS('Yield Sources'!$A$2:$A$1000,$A64,'Yield Sources'!$M$2:$M$1000,1)&lt;2,"",ROUND(_xlfn.MAXIFS('Yield Sources'!$D$2:$D$1000,'Yield Sources'!$A$2:$A$1000,$A64,'Yield Sources'!$M$2:$M$1000,1)/_xlfn.MINIFS('Yield Sources'!$D$2:$D$1000,'Yield Sources'!$A$2:$A$1000,$A64,'Yield Sources'!$M$2:$M$1000,1),1))</f>
        <v/>
      </c>
      <c r="O64" s="8" t="n">
        <v>1</v>
      </c>
      <c r="P64" s="8" t="n">
        <v>1</v>
      </c>
      <c r="Q64" s="5" t="s">
        <v>173</v>
      </c>
      <c r="R64" s="5" t="s">
        <v>174</v>
      </c>
      <c r="S64" s="11" t="str">
        <f aca="false">IFERROR(INDEX('Clinical Sources'!$M$2:$M$1000,MATCH($A64&amp;"|Annual deaths",'Clinical Sources'!$N$2:$N$1000,0)),"")</f>
        <v/>
      </c>
      <c r="T64" s="11" t="str">
        <f aca="false">IFERROR(INDEX('Clinical Sources'!$M$2:$M$1000,MATCH($A64&amp;"|Case-fatality rate",'Clinical Sources'!$N$2:$N$1000,0)),"")</f>
        <v/>
      </c>
      <c r="U64" s="9" t="s">
        <v>432</v>
      </c>
      <c r="V64" s="22" t="s">
        <v>153</v>
      </c>
      <c r="W64" s="22"/>
      <c r="X64" s="22"/>
      <c r="Y64" s="22"/>
      <c r="Z64" s="22"/>
      <c r="AA64" s="22"/>
      <c r="AB64" s="22" t="s">
        <v>153</v>
      </c>
      <c r="AC64" s="22"/>
      <c r="AD64" s="13" t="s">
        <v>154</v>
      </c>
      <c r="AE64" s="9" t="s">
        <v>433</v>
      </c>
    </row>
    <row r="65" customFormat="false" ht="26.25" hidden="false" customHeight="true" outlineLevel="0" collapsed="false">
      <c r="A65" s="4" t="s">
        <v>55</v>
      </c>
      <c r="B65" s="5" t="s">
        <v>434</v>
      </c>
      <c r="C65" s="9" t="s">
        <v>435</v>
      </c>
      <c r="D65" s="5" t="s">
        <v>165</v>
      </c>
      <c r="E65" s="5" t="s">
        <v>436</v>
      </c>
      <c r="F65" s="11" t="str">
        <f aca="false">IF(COUNTIF(V65:AC65,"Y")=0,"",UPPER(MID(IF(V65="Y","/neurotoxic","")&amp;IF(W65="Y","/hemotoxic","")&amp;IF(X65="Y","/procoagulant","")&amp;IF(Y65="Y","/anticoagulant","")&amp;IF(Z65="Y","/hemorrhagic","")&amp;IF(AA65="Y","/cytotoxic","")&amp;IF(AB65="Y","/myotoxic","")&amp;IF(AC65="Y","/cardiotoxic",""),2,1))&amp;MID(IF(V65="Y","/neurotoxic","")&amp;IF(W65="Y","/hemotoxic","")&amp;IF(X65="Y","/procoagulant","")&amp;IF(Y65="Y","/anticoagulant","")&amp;IF(Z65="Y","/hemorrhagic","")&amp;IF(AA65="Y","/cytotoxic","")&amp;IF(AB65="Y","/myotoxic","")&amp;IF(AC65="Y","/cardiotoxic",""),3,200))</f>
        <v>Neurotoxic/myotoxic</v>
      </c>
      <c r="G65" s="19" t="n">
        <f aca="false">IFERROR(INDEX('LD50 Sources'!$C$2:$C$1000,MATCH($A65,'LD50 Sources'!$L$2:$L$1000,0)),"")</f>
        <v>0.22</v>
      </c>
      <c r="H65" s="11" t="str">
        <f aca="false">IFERROR(INDEX('LD50 Sources'!$D$2:$D$1000,MATCH($A65,'LD50 Sources'!$L$2:$L$1000,0))&amp;"","")</f>
        <v>SC</v>
      </c>
      <c r="I65" s="11" t="str">
        <f aca="false">IFERROR(INDEX('LD50 Sources'!$H$2:$H$1000,MATCH($A65,'LD50 Sources'!$L$2:$L$1000,0))&amp;"","")</f>
        <v>C</v>
      </c>
      <c r="J65" s="20" t="str">
        <f aca="false">IF(COUNTIFS('LD50 Sources'!$A$2:$A$1000,$A65,'LD50 Sources'!$K$2:$K$1000,1)&lt;2,"",ROUND(_xlfn.MAXIFS('LD50 Sources'!$C$2:$C$1000,'LD50 Sources'!$A$2:$A$1000,$A65,'LD50 Sources'!$K$2:$K$1000,1)/_xlfn.MINIFS('LD50 Sources'!$C$2:$C$1000,'LD50 Sources'!$A$2:$A$1000,$A65,'LD50 Sources'!$K$2:$K$1000,1),1))</f>
        <v/>
      </c>
      <c r="K65" s="21" t="n">
        <f aca="false">IFERROR(INDEX('Yield Sources'!$C$2:$C$1000,MATCH($A65,'Yield Sources'!$N$2:$N$1000,0)),"")</f>
        <v>10</v>
      </c>
      <c r="L65" s="21" t="n">
        <f aca="false">IFERROR(INDEX('Yield Sources'!$D$2:$D$1000,MATCH($A65,'Yield Sources'!$N$2:$N$1000,0)),"")</f>
        <v>33</v>
      </c>
      <c r="M65" s="11" t="str">
        <f aca="false">IFERROR(INDEX('Yield Sources'!$J$2:$J$1000,MATCH($A65,'Yield Sources'!$N$2:$N$1000,0))&amp;"","")</f>
        <v>C</v>
      </c>
      <c r="N65" s="20" t="str">
        <f aca="false">IF(COUNTIFS('Yield Sources'!$A$2:$A$1000,$A65,'Yield Sources'!$M$2:$M$1000,1)&lt;2,"",ROUND(_xlfn.MAXIFS('Yield Sources'!$D$2:$D$1000,'Yield Sources'!$A$2:$A$1000,$A65,'Yield Sources'!$M$2:$M$1000,1)/_xlfn.MINIFS('Yield Sources'!$D$2:$D$1000,'Yield Sources'!$A$2:$A$1000,$A65,'Yield Sources'!$M$2:$M$1000,1),1))</f>
        <v/>
      </c>
      <c r="O65" s="8" t="n">
        <v>1</v>
      </c>
      <c r="P65" s="8" t="n">
        <v>2</v>
      </c>
      <c r="Q65" s="5" t="s">
        <v>173</v>
      </c>
      <c r="R65" s="5" t="s">
        <v>174</v>
      </c>
      <c r="S65" s="11" t="str">
        <f aca="false">IFERROR(INDEX('Clinical Sources'!$M$2:$M$1000,MATCH($A65&amp;"|Annual deaths",'Clinical Sources'!$N$2:$N$1000,0)),"")</f>
        <v/>
      </c>
      <c r="T65" s="11" t="str">
        <f aca="false">IFERROR(INDEX('Clinical Sources'!$M$2:$M$1000,MATCH($A65&amp;"|Case-fatality rate",'Clinical Sources'!$N$2:$N$1000,0)),"")</f>
        <v/>
      </c>
      <c r="U65" s="9" t="s">
        <v>437</v>
      </c>
      <c r="V65" s="22" t="s">
        <v>153</v>
      </c>
      <c r="W65" s="22"/>
      <c r="X65" s="22"/>
      <c r="Y65" s="22"/>
      <c r="Z65" s="22"/>
      <c r="AA65" s="22"/>
      <c r="AB65" s="22" t="s">
        <v>153</v>
      </c>
      <c r="AC65" s="22"/>
      <c r="AD65" s="13" t="s">
        <v>154</v>
      </c>
      <c r="AE65" s="9" t="s">
        <v>438</v>
      </c>
    </row>
    <row r="66" customFormat="false" ht="26.25" hidden="false" customHeight="true" outlineLevel="0" collapsed="false">
      <c r="A66" s="4" t="s">
        <v>73</v>
      </c>
      <c r="B66" s="5" t="s">
        <v>439</v>
      </c>
      <c r="C66" s="9" t="s">
        <v>440</v>
      </c>
      <c r="D66" s="5" t="s">
        <v>148</v>
      </c>
      <c r="E66" s="5" t="s">
        <v>149</v>
      </c>
      <c r="F66" s="11" t="str">
        <f aca="false">IF(COUNTIF(V66:AC66,"Y")=0,"",UPPER(MID(IF(V66="Y","/neurotoxic","")&amp;IF(W66="Y","/hemotoxic","")&amp;IF(X66="Y","/procoagulant","")&amp;IF(Y66="Y","/anticoagulant","")&amp;IF(Z66="Y","/hemorrhagic","")&amp;IF(AA66="Y","/cytotoxic","")&amp;IF(AB66="Y","/myotoxic","")&amp;IF(AC66="Y","/cardiotoxic",""),2,1))&amp;MID(IF(V66="Y","/neurotoxic","")&amp;IF(W66="Y","/hemotoxic","")&amp;IF(X66="Y","/procoagulant","")&amp;IF(Y66="Y","/anticoagulant","")&amp;IF(Z66="Y","/hemorrhagic","")&amp;IF(AA66="Y","/cytotoxic","")&amp;IF(AB66="Y","/myotoxic","")&amp;IF(AC66="Y","/cardiotoxic",""),3,200))</f>
        <v>Hemotoxic</v>
      </c>
      <c r="G66" s="19" t="n">
        <f aca="false">IFERROR(INDEX('LD50 Sources'!$C$2:$C$1000,MATCH($A66,'LD50 Sources'!$L$2:$L$1000,0)),"")</f>
        <v>0.37</v>
      </c>
      <c r="H66" s="11" t="str">
        <f aca="false">IFERROR(INDEX('LD50 Sources'!$D$2:$D$1000,MATCH($A66,'LD50 Sources'!$L$2:$L$1000,0))&amp;"","")</f>
        <v>SC</v>
      </c>
      <c r="I66" s="11" t="str">
        <f aca="false">IFERROR(INDEX('LD50 Sources'!$H$2:$H$1000,MATCH($A66,'LD50 Sources'!$L$2:$L$1000,0))&amp;"","")</f>
        <v>C</v>
      </c>
      <c r="J66" s="20" t="str">
        <f aca="false">IF(COUNTIFS('LD50 Sources'!$A$2:$A$1000,$A66,'LD50 Sources'!$K$2:$K$1000,1)&lt;2,"",ROUND(_xlfn.MAXIFS('LD50 Sources'!$C$2:$C$1000,'LD50 Sources'!$A$2:$A$1000,$A66,'LD50 Sources'!$K$2:$K$1000,1)/_xlfn.MINIFS('LD50 Sources'!$C$2:$C$1000,'LD50 Sources'!$A$2:$A$1000,$A66,'LD50 Sources'!$K$2:$K$1000,1),1))</f>
        <v/>
      </c>
      <c r="K66" s="21" t="n">
        <f aca="false">IFERROR(INDEX('Yield Sources'!$C$2:$C$1000,MATCH($A66,'Yield Sources'!$N$2:$N$1000,0)),"")</f>
        <v>8</v>
      </c>
      <c r="L66" s="21" t="n">
        <f aca="false">IFERROR(INDEX('Yield Sources'!$D$2:$D$1000,MATCH($A66,'Yield Sources'!$N$2:$N$1000,0)),"")</f>
        <v>15</v>
      </c>
      <c r="M66" s="11" t="str">
        <f aca="false">IFERROR(INDEX('Yield Sources'!$J$2:$J$1000,MATCH($A66,'Yield Sources'!$N$2:$N$1000,0))&amp;"","")</f>
        <v>C</v>
      </c>
      <c r="N66" s="20" t="str">
        <f aca="false">IF(COUNTIFS('Yield Sources'!$A$2:$A$1000,$A66,'Yield Sources'!$M$2:$M$1000,1)&lt;2,"",ROUND(_xlfn.MAXIFS('Yield Sources'!$D$2:$D$1000,'Yield Sources'!$A$2:$A$1000,$A66,'Yield Sources'!$M$2:$M$1000,1)/_xlfn.MINIFS('Yield Sources'!$D$2:$D$1000,'Yield Sources'!$A$2:$A$1000,$A66,'Yield Sources'!$M$2:$M$1000,1),1))</f>
        <v/>
      </c>
      <c r="O66" s="8" t="n">
        <v>6</v>
      </c>
      <c r="P66" s="8"/>
      <c r="Q66" s="5" t="s">
        <v>159</v>
      </c>
      <c r="R66" s="5" t="s">
        <v>160</v>
      </c>
      <c r="S66" s="11" t="str">
        <f aca="false">IFERROR(INDEX('Clinical Sources'!$M$2:$M$1000,MATCH($A66&amp;"|Annual deaths",'Clinical Sources'!$N$2:$N$1000,0)),"")</f>
        <v/>
      </c>
      <c r="T66" s="11" t="str">
        <f aca="false">IFERROR(INDEX('Clinical Sources'!$M$2:$M$1000,MATCH($A66&amp;"|Case-fatality rate",'Clinical Sources'!$N$2:$N$1000,0)),"")</f>
        <v/>
      </c>
      <c r="U66" s="9" t="s">
        <v>441</v>
      </c>
      <c r="V66" s="22"/>
      <c r="W66" s="22" t="s">
        <v>153</v>
      </c>
      <c r="X66" s="22"/>
      <c r="Y66" s="22"/>
      <c r="Z66" s="22"/>
      <c r="AA66" s="22"/>
      <c r="AB66" s="22"/>
      <c r="AC66" s="22"/>
      <c r="AD66" s="13" t="s">
        <v>154</v>
      </c>
      <c r="AE66" s="9" t="s">
        <v>442</v>
      </c>
    </row>
    <row r="67" customFormat="false" ht="26.25" hidden="false" customHeight="true" outlineLevel="0" collapsed="false">
      <c r="A67" s="4" t="s">
        <v>89</v>
      </c>
      <c r="B67" s="5" t="s">
        <v>443</v>
      </c>
      <c r="C67" s="9" t="s">
        <v>444</v>
      </c>
      <c r="D67" s="5" t="s">
        <v>148</v>
      </c>
      <c r="E67" s="5" t="s">
        <v>445</v>
      </c>
      <c r="F67" s="11" t="str">
        <f aca="false">IF(COUNTIF(V67:AC67,"Y")=0,"",UPPER(MID(IF(V67="Y","/neurotoxic","")&amp;IF(W67="Y","/hemotoxic","")&amp;IF(X67="Y","/procoagulant","")&amp;IF(Y67="Y","/anticoagulant","")&amp;IF(Z67="Y","/hemorrhagic","")&amp;IF(AA67="Y","/cytotoxic","")&amp;IF(AB67="Y","/myotoxic","")&amp;IF(AC67="Y","/cardiotoxic",""),2,1))&amp;MID(IF(V67="Y","/neurotoxic","")&amp;IF(W67="Y","/hemotoxic","")&amp;IF(X67="Y","/procoagulant","")&amp;IF(Y67="Y","/anticoagulant","")&amp;IF(Z67="Y","/hemorrhagic","")&amp;IF(AA67="Y","/cytotoxic","")&amp;IF(AB67="Y","/myotoxic","")&amp;IF(AC67="Y","/cardiotoxic",""),3,200))</f>
        <v>Hemotoxic</v>
      </c>
      <c r="G67" s="19" t="n">
        <f aca="false">IFERROR(INDEX('LD50 Sources'!$C$2:$C$1000,MATCH($A67,'LD50 Sources'!$L$2:$L$1000,0)),"")</f>
        <v>1.2</v>
      </c>
      <c r="H67" s="11" t="str">
        <f aca="false">IFERROR(INDEX('LD50 Sources'!$D$2:$D$1000,MATCH($A67,'LD50 Sources'!$L$2:$L$1000,0))&amp;"","")</f>
        <v>SC</v>
      </c>
      <c r="I67" s="11" t="str">
        <f aca="false">IFERROR(INDEX('LD50 Sources'!$H$2:$H$1000,MATCH($A67,'LD50 Sources'!$L$2:$L$1000,0))&amp;"","")</f>
        <v>C</v>
      </c>
      <c r="J67" s="20" t="str">
        <f aca="false">IF(COUNTIFS('LD50 Sources'!$A$2:$A$1000,$A67,'LD50 Sources'!$K$2:$K$1000,1)&lt;2,"",ROUND(_xlfn.MAXIFS('LD50 Sources'!$C$2:$C$1000,'LD50 Sources'!$A$2:$A$1000,$A67,'LD50 Sources'!$K$2:$K$1000,1)/_xlfn.MINIFS('LD50 Sources'!$C$2:$C$1000,'LD50 Sources'!$A$2:$A$1000,$A67,'LD50 Sources'!$K$2:$K$1000,1),1))</f>
        <v/>
      </c>
      <c r="K67" s="21" t="n">
        <f aca="false">IFERROR(INDEX('Yield Sources'!$C$2:$C$1000,MATCH($A67,'Yield Sources'!$N$2:$N$1000,0)),"")</f>
        <v>1</v>
      </c>
      <c r="L67" s="21" t="n">
        <f aca="false">IFERROR(INDEX('Yield Sources'!$D$2:$D$1000,MATCH($A67,'Yield Sources'!$N$2:$N$1000,0)),"")</f>
        <v>7</v>
      </c>
      <c r="M67" s="11" t="str">
        <f aca="false">IFERROR(INDEX('Yield Sources'!$J$2:$J$1000,MATCH($A67,'Yield Sources'!$N$2:$N$1000,0))&amp;"","")</f>
        <v>C</v>
      </c>
      <c r="N67" s="20" t="str">
        <f aca="false">IF(COUNTIFS('Yield Sources'!$A$2:$A$1000,$A67,'Yield Sources'!$M$2:$M$1000,1)&lt;2,"",ROUND(_xlfn.MAXIFS('Yield Sources'!$D$2:$D$1000,'Yield Sources'!$A$2:$A$1000,$A67,'Yield Sources'!$M$2:$M$1000,1)/_xlfn.MINIFS('Yield Sources'!$D$2:$D$1000,'Yield Sources'!$A$2:$A$1000,$A67,'Yield Sources'!$M$2:$M$1000,1),1))</f>
        <v/>
      </c>
      <c r="O67" s="8" t="n">
        <v>6</v>
      </c>
      <c r="P67" s="8" t="n">
        <v>3</v>
      </c>
      <c r="Q67" s="5" t="s">
        <v>150</v>
      </c>
      <c r="R67" s="5" t="s">
        <v>160</v>
      </c>
      <c r="S67" s="11" t="str">
        <f aca="false">IFERROR(INDEX('Clinical Sources'!$M$2:$M$1000,MATCH($A67&amp;"|Annual deaths",'Clinical Sources'!$N$2:$N$1000,0)),"")</f>
        <v/>
      </c>
      <c r="T67" s="11" t="str">
        <f aca="false">IFERROR(INDEX('Clinical Sources'!$M$2:$M$1000,MATCH($A67&amp;"|Case-fatality rate",'Clinical Sources'!$N$2:$N$1000,0)),"")</f>
        <v/>
      </c>
      <c r="U67" s="9" t="s">
        <v>446</v>
      </c>
      <c r="V67" s="22"/>
      <c r="W67" s="22" t="s">
        <v>153</v>
      </c>
      <c r="X67" s="22"/>
      <c r="Y67" s="22"/>
      <c r="Z67" s="22"/>
      <c r="AA67" s="22"/>
      <c r="AB67" s="22"/>
      <c r="AC67" s="22"/>
      <c r="AD67" s="13" t="s">
        <v>154</v>
      </c>
      <c r="AE67" s="9" t="s">
        <v>447</v>
      </c>
    </row>
    <row r="68" customFormat="false" ht="14.25" hidden="false" customHeight="true" outlineLevel="0" collapsed="false">
      <c r="A68" s="4" t="s">
        <v>107</v>
      </c>
      <c r="B68" s="5" t="s">
        <v>448</v>
      </c>
      <c r="C68" s="9" t="s">
        <v>449</v>
      </c>
      <c r="D68" s="5" t="s">
        <v>165</v>
      </c>
      <c r="E68" s="5" t="s">
        <v>450</v>
      </c>
      <c r="F68" s="11" t="str">
        <f aca="false">IF(COUNTIF(V68:AC68,"Y")=0,"",UPPER(MID(IF(V68="Y","/neurotoxic","")&amp;IF(W68="Y","/hemotoxic","")&amp;IF(X68="Y","/procoagulant","")&amp;IF(Y68="Y","/anticoagulant","")&amp;IF(Z68="Y","/hemorrhagic","")&amp;IF(AA68="Y","/cytotoxic","")&amp;IF(AB68="Y","/myotoxic","")&amp;IF(AC68="Y","/cardiotoxic",""),2,1))&amp;MID(IF(V68="Y","/neurotoxic","")&amp;IF(W68="Y","/hemotoxic","")&amp;IF(X68="Y","/procoagulant","")&amp;IF(Y68="Y","/anticoagulant","")&amp;IF(Z68="Y","/hemorrhagic","")&amp;IF(AA68="Y","/cytotoxic","")&amp;IF(AB68="Y","/myotoxic","")&amp;IF(AC68="Y","/cardiotoxic",""),3,200))</f>
        <v>Neurotoxic/hemotoxic/procoagulant</v>
      </c>
      <c r="G68" s="19" t="n">
        <f aca="false">IFERROR(INDEX('LD50 Sources'!$C$2:$C$1000,MATCH($A68,'LD50 Sources'!$L$2:$L$1000,0)),"")</f>
        <v>0.36</v>
      </c>
      <c r="H68" s="11" t="str">
        <f aca="false">IFERROR(INDEX('LD50 Sources'!$D$2:$D$1000,MATCH($A68,'LD50 Sources'!$L$2:$L$1000,0))&amp;"","")</f>
        <v>SC</v>
      </c>
      <c r="I68" s="11" t="str">
        <f aca="false">IFERROR(INDEX('LD50 Sources'!$H$2:$H$1000,MATCH($A68,'LD50 Sources'!$L$2:$L$1000,0))&amp;"","")</f>
        <v>C</v>
      </c>
      <c r="J68" s="20" t="str">
        <f aca="false">IF(COUNTIFS('LD50 Sources'!$A$2:$A$1000,$A68,'LD50 Sources'!$K$2:$K$1000,1)&lt;2,"",ROUND(_xlfn.MAXIFS('LD50 Sources'!$C$2:$C$1000,'LD50 Sources'!$A$2:$A$1000,$A68,'LD50 Sources'!$K$2:$K$1000,1)/_xlfn.MINIFS('LD50 Sources'!$C$2:$C$1000,'LD50 Sources'!$A$2:$A$1000,$A68,'LD50 Sources'!$K$2:$K$1000,1),1))</f>
        <v/>
      </c>
      <c r="K68" s="21" t="str">
        <f aca="false">IFERROR(INDEX('Yield Sources'!$C$2:$C$1000,MATCH($A68,'Yield Sources'!$N$2:$N$1000,0)),"")</f>
        <v/>
      </c>
      <c r="L68" s="21" t="str">
        <f aca="false">IFERROR(INDEX('Yield Sources'!$D$2:$D$1000,MATCH($A68,'Yield Sources'!$N$2:$N$1000,0)),"")</f>
        <v/>
      </c>
      <c r="M68" s="11" t="str">
        <f aca="false">IFERROR(INDEX('Yield Sources'!$J$2:$J$1000,MATCH($A68,'Yield Sources'!$N$2:$N$1000,0))&amp;"","")</f>
        <v/>
      </c>
      <c r="N68" s="20" t="str">
        <f aca="false">IF(COUNTIFS('Yield Sources'!$A$2:$A$1000,$A68,'Yield Sources'!$M$2:$M$1000,1)&lt;2,"",ROUND(_xlfn.MAXIFS('Yield Sources'!$D$2:$D$1000,'Yield Sources'!$A$2:$A$1000,$A68,'Yield Sources'!$M$2:$M$1000,1)/_xlfn.MINIFS('Yield Sources'!$D$2:$D$1000,'Yield Sources'!$A$2:$A$1000,$A68,'Yield Sources'!$M$2:$M$1000,1),1))</f>
        <v/>
      </c>
      <c r="O68" s="8" t="n">
        <v>5</v>
      </c>
      <c r="P68" s="8" t="n">
        <v>3</v>
      </c>
      <c r="Q68" s="5" t="s">
        <v>167</v>
      </c>
      <c r="R68" s="5" t="s">
        <v>151</v>
      </c>
      <c r="S68" s="11" t="str">
        <f aca="false">IFERROR(INDEX('Clinical Sources'!$M$2:$M$1000,MATCH($A68&amp;"|Annual deaths",'Clinical Sources'!$N$2:$N$1000,0)),"")</f>
        <v/>
      </c>
      <c r="T68" s="11" t="str">
        <f aca="false">IFERROR(INDEX('Clinical Sources'!$M$2:$M$1000,MATCH($A68&amp;"|Case-fatality rate",'Clinical Sources'!$N$2:$N$1000,0)),"")</f>
        <v/>
      </c>
      <c r="U68" s="9" t="s">
        <v>451</v>
      </c>
      <c r="V68" s="22" t="s">
        <v>153</v>
      </c>
      <c r="W68" s="22" t="s">
        <v>153</v>
      </c>
      <c r="X68" s="22" t="s">
        <v>153</v>
      </c>
      <c r="Y68" s="22"/>
      <c r="Z68" s="22"/>
      <c r="AA68" s="22"/>
      <c r="AB68" s="22"/>
      <c r="AC68" s="22"/>
      <c r="AD68" s="13" t="s">
        <v>154</v>
      </c>
      <c r="AE68" s="9" t="s">
        <v>452</v>
      </c>
    </row>
    <row r="69" customFormat="false" ht="26.25" hidden="false" customHeight="true" outlineLevel="0" collapsed="false">
      <c r="A69" s="4" t="s">
        <v>108</v>
      </c>
      <c r="B69" s="5" t="s">
        <v>453</v>
      </c>
      <c r="C69" s="9" t="s">
        <v>454</v>
      </c>
      <c r="D69" s="5" t="s">
        <v>165</v>
      </c>
      <c r="E69" s="5" t="s">
        <v>455</v>
      </c>
      <c r="F69" s="11" t="str">
        <f aca="false">IF(COUNTIF(V69:AC69,"Y")=0,"",UPPER(MID(IF(V69="Y","/neurotoxic","")&amp;IF(W69="Y","/hemotoxic","")&amp;IF(X69="Y","/procoagulant","")&amp;IF(Y69="Y","/anticoagulant","")&amp;IF(Z69="Y","/hemorrhagic","")&amp;IF(AA69="Y","/cytotoxic","")&amp;IF(AB69="Y","/myotoxic","")&amp;IF(AC69="Y","/cardiotoxic",""),2,1))&amp;MID(IF(V69="Y","/neurotoxic","")&amp;IF(W69="Y","/hemotoxic","")&amp;IF(X69="Y","/procoagulant","")&amp;IF(Y69="Y","/anticoagulant","")&amp;IF(Z69="Y","/hemorrhagic","")&amp;IF(AA69="Y","/cytotoxic","")&amp;IF(AB69="Y","/myotoxic","")&amp;IF(AC69="Y","/cardiotoxic",""),3,200))</f>
        <v>Neurotoxic/hemotoxic/procoagulant</v>
      </c>
      <c r="G69" s="19" t="n">
        <f aca="false">IFERROR(INDEX('LD50 Sources'!$C$2:$C$1000,MATCH($A69,'LD50 Sources'!$L$2:$L$1000,0)),"")</f>
        <v>0.473</v>
      </c>
      <c r="H69" s="11" t="str">
        <f aca="false">IFERROR(INDEX('LD50 Sources'!$D$2:$D$1000,MATCH($A69,'LD50 Sources'!$L$2:$L$1000,0))&amp;"","")</f>
        <v>SC</v>
      </c>
      <c r="I69" s="11" t="str">
        <f aca="false">IFERROR(INDEX('LD50 Sources'!$H$2:$H$1000,MATCH($A69,'LD50 Sources'!$L$2:$L$1000,0))&amp;"","")</f>
        <v>A</v>
      </c>
      <c r="J69" s="20" t="str">
        <f aca="false">IF(COUNTIFS('LD50 Sources'!$A$2:$A$1000,$A69,'LD50 Sources'!$K$2:$K$1000,1)&lt;2,"",ROUND(_xlfn.MAXIFS('LD50 Sources'!$C$2:$C$1000,'LD50 Sources'!$A$2:$A$1000,$A69,'LD50 Sources'!$K$2:$K$1000,1)/_xlfn.MINIFS('LD50 Sources'!$C$2:$C$1000,'LD50 Sources'!$A$2:$A$1000,$A69,'LD50 Sources'!$K$2:$K$1000,1),1))</f>
        <v/>
      </c>
      <c r="K69" s="21" t="n">
        <f aca="false">IFERROR(INDEX('Yield Sources'!$C$2:$C$1000,MATCH($A69,'Yield Sources'!$N$2:$N$1000,0)),"")</f>
        <v>15.01</v>
      </c>
      <c r="L69" s="21" t="n">
        <f aca="false">IFERROR(INDEX('Yield Sources'!$D$2:$D$1000,MATCH($A69,'Yield Sources'!$N$2:$N$1000,0)),"")</f>
        <v>32.92</v>
      </c>
      <c r="M69" s="11" t="str">
        <f aca="false">IFERROR(INDEX('Yield Sources'!$J$2:$J$1000,MATCH($A69,'Yield Sources'!$N$2:$N$1000,0))&amp;"","")</f>
        <v>C</v>
      </c>
      <c r="N69" s="20" t="str">
        <f aca="false">IF(COUNTIFS('Yield Sources'!$A$2:$A$1000,$A69,'Yield Sources'!$M$2:$M$1000,1)&lt;2,"",ROUND(_xlfn.MAXIFS('Yield Sources'!$D$2:$D$1000,'Yield Sources'!$A$2:$A$1000,$A69,'Yield Sources'!$M$2:$M$1000,1)/_xlfn.MINIFS('Yield Sources'!$D$2:$D$1000,'Yield Sources'!$A$2:$A$1000,$A69,'Yield Sources'!$M$2:$M$1000,1),1))</f>
        <v/>
      </c>
      <c r="O69" s="8" t="n">
        <v>5</v>
      </c>
      <c r="P69" s="8" t="n">
        <v>3</v>
      </c>
      <c r="Q69" s="5" t="s">
        <v>167</v>
      </c>
      <c r="R69" s="5" t="s">
        <v>151</v>
      </c>
      <c r="S69" s="11" t="str">
        <f aca="false">IFERROR(INDEX('Clinical Sources'!$M$2:$M$1000,MATCH($A69&amp;"|Annual deaths",'Clinical Sources'!$N$2:$N$1000,0)),"")</f>
        <v/>
      </c>
      <c r="T69" s="11" t="str">
        <f aca="false">IFERROR(INDEX('Clinical Sources'!$M$2:$M$1000,MATCH($A69&amp;"|Case-fatality rate",'Clinical Sources'!$N$2:$N$1000,0)),"")</f>
        <v/>
      </c>
      <c r="U69" s="9" t="s">
        <v>456</v>
      </c>
      <c r="V69" s="22" t="s">
        <v>153</v>
      </c>
      <c r="W69" s="22" t="s">
        <v>153</v>
      </c>
      <c r="X69" s="22" t="s">
        <v>153</v>
      </c>
      <c r="Y69" s="22"/>
      <c r="Z69" s="22"/>
      <c r="AA69" s="22"/>
      <c r="AB69" s="22"/>
      <c r="AC69" s="22"/>
      <c r="AD69" s="13" t="s">
        <v>154</v>
      </c>
      <c r="AE69" s="9" t="s">
        <v>457</v>
      </c>
    </row>
    <row r="70" customFormat="false" ht="14.25" hidden="false" customHeight="true" outlineLevel="0" collapsed="false">
      <c r="A70" s="4" t="s">
        <v>106</v>
      </c>
      <c r="B70" s="5" t="s">
        <v>458</v>
      </c>
      <c r="C70" s="9" t="s">
        <v>449</v>
      </c>
      <c r="D70" s="5" t="s">
        <v>165</v>
      </c>
      <c r="E70" s="5" t="s">
        <v>459</v>
      </c>
      <c r="F70" s="11" t="str">
        <f aca="false">IF(COUNTIF(V70:AC70,"Y")=0,"",UPPER(MID(IF(V70="Y","/neurotoxic","")&amp;IF(W70="Y","/hemotoxic","")&amp;IF(X70="Y","/procoagulant","")&amp;IF(Y70="Y","/anticoagulant","")&amp;IF(Z70="Y","/hemorrhagic","")&amp;IF(AA70="Y","/cytotoxic","")&amp;IF(AB70="Y","/myotoxic","")&amp;IF(AC70="Y","/cardiotoxic",""),2,1))&amp;MID(IF(V70="Y","/neurotoxic","")&amp;IF(W70="Y","/hemotoxic","")&amp;IF(X70="Y","/procoagulant","")&amp;IF(Y70="Y","/anticoagulant","")&amp;IF(Z70="Y","/hemorrhagic","")&amp;IF(AA70="Y","/cytotoxic","")&amp;IF(AB70="Y","/myotoxic","")&amp;IF(AC70="Y","/cardiotoxic",""),3,200))</f>
        <v>Neurotoxic/hemotoxic/procoagulant</v>
      </c>
      <c r="G70" s="19" t="n">
        <f aca="false">IFERROR(INDEX('LD50 Sources'!$C$2:$C$1000,MATCH($A70,'LD50 Sources'!$L$2:$L$1000,0)),"")</f>
        <v>0.66</v>
      </c>
      <c r="H70" s="11" t="str">
        <f aca="false">IFERROR(INDEX('LD50 Sources'!$D$2:$D$1000,MATCH($A70,'LD50 Sources'!$L$2:$L$1000,0))&amp;"","")</f>
        <v>SC</v>
      </c>
      <c r="I70" s="11" t="str">
        <f aca="false">IFERROR(INDEX('LD50 Sources'!$H$2:$H$1000,MATCH($A70,'LD50 Sources'!$L$2:$L$1000,0))&amp;"","")</f>
        <v>A</v>
      </c>
      <c r="J70" s="20" t="str">
        <f aca="false">IF(COUNTIFS('LD50 Sources'!$A$2:$A$1000,$A70,'LD50 Sources'!$K$2:$K$1000,1)&lt;2,"",ROUND(_xlfn.MAXIFS('LD50 Sources'!$C$2:$C$1000,'LD50 Sources'!$A$2:$A$1000,$A70,'LD50 Sources'!$K$2:$K$1000,1)/_xlfn.MINIFS('LD50 Sources'!$C$2:$C$1000,'LD50 Sources'!$A$2:$A$1000,$A70,'LD50 Sources'!$K$2:$K$1000,1),1))</f>
        <v/>
      </c>
      <c r="K70" s="21" t="n">
        <f aca="false">IFERROR(INDEX('Yield Sources'!$C$2:$C$1000,MATCH($A70,'Yield Sources'!$N$2:$N$1000,0)),"")</f>
        <v>18.12</v>
      </c>
      <c r="L70" s="21" t="n">
        <f aca="false">IFERROR(INDEX('Yield Sources'!$D$2:$D$1000,MATCH($A70,'Yield Sources'!$N$2:$N$1000,0)),"")</f>
        <v>52.58</v>
      </c>
      <c r="M70" s="11" t="str">
        <f aca="false">IFERROR(INDEX('Yield Sources'!$J$2:$J$1000,MATCH($A70,'Yield Sources'!$N$2:$N$1000,0))&amp;"","")</f>
        <v>A</v>
      </c>
      <c r="N70" s="20" t="n">
        <f aca="false">IF(COUNTIFS('Yield Sources'!$A$2:$A$1000,$A70,'Yield Sources'!$M$2:$M$1000,1)&lt;2,"",ROUND(_xlfn.MAXIFS('Yield Sources'!$D$2:$D$1000,'Yield Sources'!$A$2:$A$1000,$A70,'Yield Sources'!$M$2:$M$1000,1)/_xlfn.MINIFS('Yield Sources'!$D$2:$D$1000,'Yield Sources'!$A$2:$A$1000,$A70,'Yield Sources'!$M$2:$M$1000,1),1))</f>
        <v>3.1</v>
      </c>
      <c r="O70" s="8" t="n">
        <v>6</v>
      </c>
      <c r="P70" s="8" t="n">
        <v>3</v>
      </c>
      <c r="Q70" s="5" t="s">
        <v>167</v>
      </c>
      <c r="R70" s="5" t="s">
        <v>151</v>
      </c>
      <c r="S70" s="11" t="str">
        <f aca="false">IFERROR(INDEX('Clinical Sources'!$M$2:$M$1000,MATCH($A70&amp;"|Annual deaths",'Clinical Sources'!$N$2:$N$1000,0)),"")</f>
        <v/>
      </c>
      <c r="T70" s="11" t="str">
        <f aca="false">IFERROR(INDEX('Clinical Sources'!$M$2:$M$1000,MATCH($A70&amp;"|Case-fatality rate",'Clinical Sources'!$N$2:$N$1000,0)),"")</f>
        <v/>
      </c>
      <c r="U70" s="9" t="s">
        <v>460</v>
      </c>
      <c r="V70" s="22" t="s">
        <v>153</v>
      </c>
      <c r="W70" s="22" t="s">
        <v>153</v>
      </c>
      <c r="X70" s="22" t="s">
        <v>153</v>
      </c>
      <c r="Y70" s="22"/>
      <c r="Z70" s="22"/>
      <c r="AA70" s="22"/>
      <c r="AB70" s="22"/>
      <c r="AC70" s="22"/>
      <c r="AD70" s="13" t="s">
        <v>154</v>
      </c>
      <c r="AE70" s="9" t="s">
        <v>461</v>
      </c>
    </row>
    <row r="71" customFormat="false" ht="14.25" hidden="false" customHeight="true" outlineLevel="0" collapsed="false">
      <c r="A71" s="4" t="s">
        <v>97</v>
      </c>
      <c r="B71" s="5" t="s">
        <v>462</v>
      </c>
      <c r="C71" s="9"/>
      <c r="D71" s="5" t="s">
        <v>165</v>
      </c>
      <c r="E71" s="5" t="s">
        <v>463</v>
      </c>
      <c r="F71" s="11" t="str">
        <f aca="false">IF(COUNTIF(V71:AC71,"Y")=0,"",UPPER(MID(IF(V71="Y","/neurotoxic","")&amp;IF(W71="Y","/hemotoxic","")&amp;IF(X71="Y","/procoagulant","")&amp;IF(Y71="Y","/anticoagulant","")&amp;IF(Z71="Y","/hemorrhagic","")&amp;IF(AA71="Y","/cytotoxic","")&amp;IF(AB71="Y","/myotoxic","")&amp;IF(AC71="Y","/cardiotoxic",""),2,1))&amp;MID(IF(V71="Y","/neurotoxic","")&amp;IF(W71="Y","/hemotoxic","")&amp;IF(X71="Y","/procoagulant","")&amp;IF(Y71="Y","/anticoagulant","")&amp;IF(Z71="Y","/hemorrhagic","")&amp;IF(AA71="Y","/cytotoxic","")&amp;IF(AB71="Y","/myotoxic","")&amp;IF(AC71="Y","/cardiotoxic",""),3,200))</f>
        <v>Neurotoxic/hemotoxic/anticoagulant</v>
      </c>
      <c r="G71" s="19" t="n">
        <f aca="false">IFERROR(INDEX('LD50 Sources'!$C$2:$C$1000,MATCH($A71,'LD50 Sources'!$L$2:$L$1000,0)),"")</f>
        <v>1.36</v>
      </c>
      <c r="H71" s="11" t="str">
        <f aca="false">IFERROR(INDEX('LD50 Sources'!$D$2:$D$1000,MATCH($A71,'LD50 Sources'!$L$2:$L$1000,0))&amp;"","")</f>
        <v>SC</v>
      </c>
      <c r="I71" s="11" t="str">
        <f aca="false">IFERROR(INDEX('LD50 Sources'!$H$2:$H$1000,MATCH($A71,'LD50 Sources'!$L$2:$L$1000,0))&amp;"","")</f>
        <v>A</v>
      </c>
      <c r="J71" s="20" t="str">
        <f aca="false">IF(COUNTIFS('LD50 Sources'!$A$2:$A$1000,$A71,'LD50 Sources'!$K$2:$K$1000,1)&lt;2,"",ROUND(_xlfn.MAXIFS('LD50 Sources'!$C$2:$C$1000,'LD50 Sources'!$A$2:$A$1000,$A71,'LD50 Sources'!$K$2:$K$1000,1)/_xlfn.MINIFS('LD50 Sources'!$C$2:$C$1000,'LD50 Sources'!$A$2:$A$1000,$A71,'LD50 Sources'!$K$2:$K$1000,1),1))</f>
        <v/>
      </c>
      <c r="K71" s="21" t="str">
        <f aca="false">IFERROR(INDEX('Yield Sources'!$C$2:$C$1000,MATCH($A71,'Yield Sources'!$N$2:$N$1000,0)),"")</f>
        <v/>
      </c>
      <c r="L71" s="21" t="str">
        <f aca="false">IFERROR(INDEX('Yield Sources'!$D$2:$D$1000,MATCH($A71,'Yield Sources'!$N$2:$N$1000,0)),"")</f>
        <v/>
      </c>
      <c r="M71" s="11" t="str">
        <f aca="false">IFERROR(INDEX('Yield Sources'!$J$2:$J$1000,MATCH($A71,'Yield Sources'!$N$2:$N$1000,0))&amp;"","")</f>
        <v/>
      </c>
      <c r="N71" s="20" t="str">
        <f aca="false">IF(COUNTIFS('Yield Sources'!$A$2:$A$1000,$A71,'Yield Sources'!$M$2:$M$1000,1)&lt;2,"",ROUND(_xlfn.MAXIFS('Yield Sources'!$D$2:$D$1000,'Yield Sources'!$A$2:$A$1000,$A71,'Yield Sources'!$M$2:$M$1000,1)/_xlfn.MINIFS('Yield Sources'!$D$2:$D$1000,'Yield Sources'!$A$2:$A$1000,$A71,'Yield Sources'!$M$2:$M$1000,1),1))</f>
        <v/>
      </c>
      <c r="O71" s="8" t="n">
        <v>4</v>
      </c>
      <c r="P71" s="8" t="n">
        <v>4</v>
      </c>
      <c r="Q71" s="5" t="s">
        <v>173</v>
      </c>
      <c r="R71" s="5" t="s">
        <v>151</v>
      </c>
      <c r="S71" s="11" t="str">
        <f aca="false">IFERROR(INDEX('Clinical Sources'!$M$2:$M$1000,MATCH($A71&amp;"|Annual deaths",'Clinical Sources'!$N$2:$N$1000,0)),"")</f>
        <v/>
      </c>
      <c r="T71" s="11" t="str">
        <f aca="false">IFERROR(INDEX('Clinical Sources'!$M$2:$M$1000,MATCH($A71&amp;"|Case-fatality rate",'Clinical Sources'!$N$2:$N$1000,0)),"")</f>
        <v/>
      </c>
      <c r="U71" s="9" t="s">
        <v>460</v>
      </c>
      <c r="V71" s="22" t="s">
        <v>153</v>
      </c>
      <c r="W71" s="22" t="s">
        <v>153</v>
      </c>
      <c r="X71" s="22"/>
      <c r="Y71" s="22" t="s">
        <v>153</v>
      </c>
      <c r="Z71" s="22"/>
      <c r="AA71" s="22"/>
      <c r="AB71" s="22"/>
      <c r="AC71" s="22"/>
      <c r="AD71" s="13" t="s">
        <v>154</v>
      </c>
      <c r="AE71" s="9" t="s">
        <v>464</v>
      </c>
    </row>
    <row r="72" customFormat="false" ht="14.25" hidden="false" customHeight="true" outlineLevel="0" collapsed="false">
      <c r="A72" s="4" t="s">
        <v>104</v>
      </c>
      <c r="B72" s="5" t="s">
        <v>465</v>
      </c>
      <c r="C72" s="9" t="s">
        <v>466</v>
      </c>
      <c r="D72" s="5" t="s">
        <v>165</v>
      </c>
      <c r="E72" s="5" t="s">
        <v>463</v>
      </c>
      <c r="F72" s="11" t="str">
        <f aca="false">IF(COUNTIF(V72:AC72,"Y")=0,"",UPPER(MID(IF(V72="Y","/neurotoxic","")&amp;IF(W72="Y","/hemotoxic","")&amp;IF(X72="Y","/procoagulant","")&amp;IF(Y72="Y","/anticoagulant","")&amp;IF(Z72="Y","/hemorrhagic","")&amp;IF(AA72="Y","/cytotoxic","")&amp;IF(AB72="Y","/myotoxic","")&amp;IF(AC72="Y","/cardiotoxic",""),2,1))&amp;MID(IF(V72="Y","/neurotoxic","")&amp;IF(W72="Y","/hemotoxic","")&amp;IF(X72="Y","/procoagulant","")&amp;IF(Y72="Y","/anticoagulant","")&amp;IF(Z72="Y","/hemorrhagic","")&amp;IF(AA72="Y","/cytotoxic","")&amp;IF(AB72="Y","/myotoxic","")&amp;IF(AC72="Y","/cardiotoxic",""),3,200))</f>
        <v>Neurotoxic/hemotoxic/anticoagulant</v>
      </c>
      <c r="G72" s="19" t="n">
        <f aca="false">IFERROR(INDEX('LD50 Sources'!$C$2:$C$1000,MATCH($A72,'LD50 Sources'!$L$2:$L$1000,0)),"")</f>
        <v>2.13</v>
      </c>
      <c r="H72" s="11" t="str">
        <f aca="false">IFERROR(INDEX('LD50 Sources'!$D$2:$D$1000,MATCH($A72,'LD50 Sources'!$L$2:$L$1000,0))&amp;"","")</f>
        <v>SC</v>
      </c>
      <c r="I72" s="11" t="str">
        <f aca="false">IFERROR(INDEX('LD50 Sources'!$H$2:$H$1000,MATCH($A72,'LD50 Sources'!$L$2:$L$1000,0))&amp;"","")</f>
        <v>A</v>
      </c>
      <c r="J72" s="20" t="str">
        <f aca="false">IF(COUNTIFS('LD50 Sources'!$A$2:$A$1000,$A72,'LD50 Sources'!$K$2:$K$1000,1)&lt;2,"",ROUND(_xlfn.MAXIFS('LD50 Sources'!$C$2:$C$1000,'LD50 Sources'!$A$2:$A$1000,$A72,'LD50 Sources'!$K$2:$K$1000,1)/_xlfn.MINIFS('LD50 Sources'!$C$2:$C$1000,'LD50 Sources'!$A$2:$A$1000,$A72,'LD50 Sources'!$K$2:$K$1000,1),1))</f>
        <v/>
      </c>
      <c r="K72" s="21" t="str">
        <f aca="false">IFERROR(INDEX('Yield Sources'!$C$2:$C$1000,MATCH($A72,'Yield Sources'!$N$2:$N$1000,0)),"")</f>
        <v/>
      </c>
      <c r="L72" s="21" t="str">
        <f aca="false">IFERROR(INDEX('Yield Sources'!$D$2:$D$1000,MATCH($A72,'Yield Sources'!$N$2:$N$1000,0)),"")</f>
        <v/>
      </c>
      <c r="M72" s="11" t="str">
        <f aca="false">IFERROR(INDEX('Yield Sources'!$J$2:$J$1000,MATCH($A72,'Yield Sources'!$N$2:$N$1000,0))&amp;"","")</f>
        <v/>
      </c>
      <c r="N72" s="20" t="str">
        <f aca="false">IF(COUNTIFS('Yield Sources'!$A$2:$A$1000,$A72,'Yield Sources'!$M$2:$M$1000,1)&lt;2,"",ROUND(_xlfn.MAXIFS('Yield Sources'!$D$2:$D$1000,'Yield Sources'!$A$2:$A$1000,$A72,'Yield Sources'!$M$2:$M$1000,1)/_xlfn.MINIFS('Yield Sources'!$D$2:$D$1000,'Yield Sources'!$A$2:$A$1000,$A72,'Yield Sources'!$M$2:$M$1000,1),1))</f>
        <v/>
      </c>
      <c r="O72" s="8" t="n">
        <v>5</v>
      </c>
      <c r="P72" s="8" t="n">
        <v>2</v>
      </c>
      <c r="Q72" s="5" t="s">
        <v>173</v>
      </c>
      <c r="R72" s="5" t="s">
        <v>151</v>
      </c>
      <c r="S72" s="11" t="str">
        <f aca="false">IFERROR(INDEX('Clinical Sources'!$M$2:$M$1000,MATCH($A72&amp;"|Annual deaths",'Clinical Sources'!$N$2:$N$1000,0)),"")</f>
        <v/>
      </c>
      <c r="T72" s="11" t="str">
        <f aca="false">IFERROR(INDEX('Clinical Sources'!$M$2:$M$1000,MATCH($A72&amp;"|Case-fatality rate",'Clinical Sources'!$N$2:$N$1000,0)),"")</f>
        <v/>
      </c>
      <c r="U72" s="9" t="s">
        <v>460</v>
      </c>
      <c r="V72" s="22" t="s">
        <v>153</v>
      </c>
      <c r="W72" s="22" t="s">
        <v>153</v>
      </c>
      <c r="X72" s="22"/>
      <c r="Y72" s="22" t="s">
        <v>153</v>
      </c>
      <c r="Z72" s="22"/>
      <c r="AA72" s="22"/>
      <c r="AB72" s="22"/>
      <c r="AC72" s="22"/>
      <c r="AD72" s="13" t="s">
        <v>154</v>
      </c>
      <c r="AE72" s="9" t="s">
        <v>467</v>
      </c>
    </row>
    <row r="73" customFormat="false" ht="26.25" hidden="false" customHeight="true" outlineLevel="0" collapsed="false">
      <c r="A73" s="4" t="s">
        <v>57</v>
      </c>
      <c r="B73" s="5" t="s">
        <v>468</v>
      </c>
      <c r="C73" s="9" t="s">
        <v>469</v>
      </c>
      <c r="D73" s="5" t="s">
        <v>165</v>
      </c>
      <c r="E73" s="5" t="s">
        <v>470</v>
      </c>
      <c r="F73" s="11" t="str">
        <f aca="false">IF(COUNTIF(V73:AC73,"Y")=0,"",UPPER(MID(IF(V73="Y","/neurotoxic","")&amp;IF(W73="Y","/hemotoxic","")&amp;IF(X73="Y","/procoagulant","")&amp;IF(Y73="Y","/anticoagulant","")&amp;IF(Z73="Y","/hemorrhagic","")&amp;IF(AA73="Y","/cytotoxic","")&amp;IF(AB73="Y","/myotoxic","")&amp;IF(AC73="Y","/cardiotoxic",""),2,1))&amp;MID(IF(V73="Y","/neurotoxic","")&amp;IF(W73="Y","/hemotoxic","")&amp;IF(X73="Y","/procoagulant","")&amp;IF(Y73="Y","/anticoagulant","")&amp;IF(Z73="Y","/hemorrhagic","")&amp;IF(AA73="Y","/cytotoxic","")&amp;IF(AB73="Y","/myotoxic","")&amp;IF(AC73="Y","/cardiotoxic",""),3,200))</f>
        <v>Neurotoxic/hemotoxic/anticoagulant/myotoxic</v>
      </c>
      <c r="G73" s="19" t="n">
        <f aca="false">IFERROR(INDEX('LD50 Sources'!$C$2:$C$1000,MATCH($A73,'LD50 Sources'!$L$2:$L$1000,0)),"")</f>
        <v>2.38</v>
      </c>
      <c r="H73" s="11" t="str">
        <f aca="false">IFERROR(INDEX('LD50 Sources'!$D$2:$D$1000,MATCH($A73,'LD50 Sources'!$L$2:$L$1000,0))&amp;"","")</f>
        <v>SC</v>
      </c>
      <c r="I73" s="11" t="str">
        <f aca="false">IFERROR(INDEX('LD50 Sources'!$H$2:$H$1000,MATCH($A73,'LD50 Sources'!$L$2:$L$1000,0))&amp;"","")</f>
        <v>A</v>
      </c>
      <c r="J73" s="20" t="str">
        <f aca="false">IF(COUNTIFS('LD50 Sources'!$A$2:$A$1000,$A73,'LD50 Sources'!$K$2:$K$1000,1)&lt;2,"",ROUND(_xlfn.MAXIFS('LD50 Sources'!$C$2:$C$1000,'LD50 Sources'!$A$2:$A$1000,$A73,'LD50 Sources'!$K$2:$K$1000,1)/_xlfn.MINIFS('LD50 Sources'!$C$2:$C$1000,'LD50 Sources'!$A$2:$A$1000,$A73,'LD50 Sources'!$K$2:$K$1000,1),1))</f>
        <v/>
      </c>
      <c r="K73" s="21" t="n">
        <f aca="false">IFERROR(INDEX('Yield Sources'!$C$2:$C$1000,MATCH($A73,'Yield Sources'!$N$2:$N$1000,0)),"")</f>
        <v>180</v>
      </c>
      <c r="L73" s="21" t="n">
        <f aca="false">IFERROR(INDEX('Yield Sources'!$D$2:$D$1000,MATCH($A73,'Yield Sources'!$N$2:$N$1000,0)),"")</f>
        <v>600</v>
      </c>
      <c r="M73" s="11" t="str">
        <f aca="false">IFERROR(INDEX('Yield Sources'!$J$2:$J$1000,MATCH($A73,'Yield Sources'!$N$2:$N$1000,0))&amp;"","")</f>
        <v>B</v>
      </c>
      <c r="N73" s="20" t="str">
        <f aca="false">IF(COUNTIFS('Yield Sources'!$A$2:$A$1000,$A73,'Yield Sources'!$M$2:$M$1000,1)&lt;2,"",ROUND(_xlfn.MAXIFS('Yield Sources'!$D$2:$D$1000,'Yield Sources'!$A$2:$A$1000,$A73,'Yield Sources'!$M$2:$M$1000,1)/_xlfn.MINIFS('Yield Sources'!$D$2:$D$1000,'Yield Sources'!$A$2:$A$1000,$A73,'Yield Sources'!$M$2:$M$1000,1),1))</f>
        <v/>
      </c>
      <c r="O73" s="8" t="n">
        <v>6</v>
      </c>
      <c r="P73" s="8" t="n">
        <v>2</v>
      </c>
      <c r="Q73" s="5" t="s">
        <v>150</v>
      </c>
      <c r="R73" s="5" t="s">
        <v>151</v>
      </c>
      <c r="S73" s="11" t="str">
        <f aca="false">IFERROR(INDEX('Clinical Sources'!$M$2:$M$1000,MATCH($A73&amp;"|Annual deaths",'Clinical Sources'!$N$2:$N$1000,0)),"")</f>
        <v/>
      </c>
      <c r="T73" s="11" t="str">
        <f aca="false">IFERROR(INDEX('Clinical Sources'!$M$2:$M$1000,MATCH($A73&amp;"|Case-fatality rate",'Clinical Sources'!$N$2:$N$1000,0)),"")</f>
        <v/>
      </c>
      <c r="U73" s="9" t="s">
        <v>471</v>
      </c>
      <c r="V73" s="22" t="s">
        <v>153</v>
      </c>
      <c r="W73" s="22" t="s">
        <v>153</v>
      </c>
      <c r="X73" s="22"/>
      <c r="Y73" s="22" t="s">
        <v>153</v>
      </c>
      <c r="Z73" s="22"/>
      <c r="AA73" s="22"/>
      <c r="AB73" s="22" t="s">
        <v>153</v>
      </c>
      <c r="AC73" s="22"/>
      <c r="AD73" s="13" t="s">
        <v>154</v>
      </c>
      <c r="AE73" s="9" t="s">
        <v>472</v>
      </c>
    </row>
    <row r="74" customFormat="false" ht="26.25" hidden="false" customHeight="true" outlineLevel="0" collapsed="false">
      <c r="A74" s="4" t="s">
        <v>103</v>
      </c>
      <c r="B74" s="5" t="s">
        <v>473</v>
      </c>
      <c r="C74" s="9" t="s">
        <v>474</v>
      </c>
      <c r="D74" s="5" t="s">
        <v>165</v>
      </c>
      <c r="E74" s="5" t="s">
        <v>450</v>
      </c>
      <c r="F74" s="11" t="str">
        <f aca="false">IF(COUNTIF(V74:AC74,"Y")=0,"",UPPER(MID(IF(V74="Y","/neurotoxic","")&amp;IF(W74="Y","/hemotoxic","")&amp;IF(X74="Y","/procoagulant","")&amp;IF(Y74="Y","/anticoagulant","")&amp;IF(Z74="Y","/hemorrhagic","")&amp;IF(AA74="Y","/cytotoxic","")&amp;IF(AB74="Y","/myotoxic","")&amp;IF(AC74="Y","/cardiotoxic",""),2,1))&amp;MID(IF(V74="Y","/neurotoxic","")&amp;IF(W74="Y","/hemotoxic","")&amp;IF(X74="Y","/procoagulant","")&amp;IF(Y74="Y","/anticoagulant","")&amp;IF(Z74="Y","/hemorrhagic","")&amp;IF(AA74="Y","/cytotoxic","")&amp;IF(AB74="Y","/myotoxic","")&amp;IF(AC74="Y","/cardiotoxic",""),3,200))</f>
        <v>Neurotoxic/hemotoxic/anticoagulant</v>
      </c>
      <c r="G74" s="19" t="n">
        <f aca="false">IFERROR(INDEX('LD50 Sources'!$C$2:$C$1000,MATCH($A74,'LD50 Sources'!$L$2:$L$1000,0)),"")</f>
        <v>2.38</v>
      </c>
      <c r="H74" s="11" t="str">
        <f aca="false">IFERROR(INDEX('LD50 Sources'!$D$2:$D$1000,MATCH($A74,'LD50 Sources'!$L$2:$L$1000,0))&amp;"","")</f>
        <v>SC</v>
      </c>
      <c r="I74" s="11" t="str">
        <f aca="false">IFERROR(INDEX('LD50 Sources'!$H$2:$H$1000,MATCH($A74,'LD50 Sources'!$L$2:$L$1000,0))&amp;"","")</f>
        <v>A</v>
      </c>
      <c r="J74" s="20" t="str">
        <f aca="false">IF(COUNTIFS('LD50 Sources'!$A$2:$A$1000,$A74,'LD50 Sources'!$K$2:$K$1000,1)&lt;2,"",ROUND(_xlfn.MAXIFS('LD50 Sources'!$C$2:$C$1000,'LD50 Sources'!$A$2:$A$1000,$A74,'LD50 Sources'!$K$2:$K$1000,1)/_xlfn.MINIFS('LD50 Sources'!$C$2:$C$1000,'LD50 Sources'!$A$2:$A$1000,$A74,'LD50 Sources'!$K$2:$K$1000,1),1))</f>
        <v/>
      </c>
      <c r="K74" s="21" t="str">
        <f aca="false">IFERROR(INDEX('Yield Sources'!$C$2:$C$1000,MATCH($A74,'Yield Sources'!$N$2:$N$1000,0)),"")</f>
        <v/>
      </c>
      <c r="L74" s="21" t="str">
        <f aca="false">IFERROR(INDEX('Yield Sources'!$D$2:$D$1000,MATCH($A74,'Yield Sources'!$N$2:$N$1000,0)),"")</f>
        <v/>
      </c>
      <c r="M74" s="11" t="str">
        <f aca="false">IFERROR(INDEX('Yield Sources'!$J$2:$J$1000,MATCH($A74,'Yield Sources'!$N$2:$N$1000,0))&amp;"","")</f>
        <v/>
      </c>
      <c r="N74" s="20" t="str">
        <f aca="false">IF(COUNTIFS('Yield Sources'!$A$2:$A$1000,$A74,'Yield Sources'!$M$2:$M$1000,1)&lt;2,"",ROUND(_xlfn.MAXIFS('Yield Sources'!$D$2:$D$1000,'Yield Sources'!$A$2:$A$1000,$A74,'Yield Sources'!$M$2:$M$1000,1)/_xlfn.MINIFS('Yield Sources'!$D$2:$D$1000,'Yield Sources'!$A$2:$A$1000,$A74,'Yield Sources'!$M$2:$M$1000,1),1))</f>
        <v/>
      </c>
      <c r="O74" s="8" t="n">
        <v>4</v>
      </c>
      <c r="P74" s="8" t="n">
        <v>2</v>
      </c>
      <c r="Q74" s="5" t="s">
        <v>173</v>
      </c>
      <c r="R74" s="5" t="s">
        <v>151</v>
      </c>
      <c r="S74" s="11" t="str">
        <f aca="false">IFERROR(INDEX('Clinical Sources'!$M$2:$M$1000,MATCH($A74&amp;"|Annual deaths",'Clinical Sources'!$N$2:$N$1000,0)),"")</f>
        <v/>
      </c>
      <c r="T74" s="11" t="str">
        <f aca="false">IFERROR(INDEX('Clinical Sources'!$M$2:$M$1000,MATCH($A74&amp;"|Case-fatality rate",'Clinical Sources'!$N$2:$N$1000,0)),"")</f>
        <v/>
      </c>
      <c r="U74" s="9" t="s">
        <v>475</v>
      </c>
      <c r="V74" s="22" t="s">
        <v>153</v>
      </c>
      <c r="W74" s="22" t="s">
        <v>153</v>
      </c>
      <c r="X74" s="22"/>
      <c r="Y74" s="22" t="s">
        <v>153</v>
      </c>
      <c r="Z74" s="22"/>
      <c r="AA74" s="22"/>
      <c r="AB74" s="22"/>
      <c r="AC74" s="22"/>
      <c r="AD74" s="13" t="s">
        <v>154</v>
      </c>
      <c r="AE74" s="9" t="s">
        <v>476</v>
      </c>
    </row>
    <row r="75" customFormat="false" ht="26.25" hidden="false" customHeight="true" outlineLevel="0" collapsed="false">
      <c r="A75" s="4" t="s">
        <v>46</v>
      </c>
      <c r="B75" s="5" t="s">
        <v>477</v>
      </c>
      <c r="C75" s="9" t="s">
        <v>478</v>
      </c>
      <c r="D75" s="5" t="s">
        <v>165</v>
      </c>
      <c r="E75" s="5" t="s">
        <v>479</v>
      </c>
      <c r="F75" s="11" t="str">
        <f aca="false">IF(COUNTIF(V75:AC75,"Y")=0,"",UPPER(MID(IF(V75="Y","/neurotoxic","")&amp;IF(W75="Y","/hemotoxic","")&amp;IF(X75="Y","/procoagulant","")&amp;IF(Y75="Y","/anticoagulant","")&amp;IF(Z75="Y","/hemorrhagic","")&amp;IF(AA75="Y","/cytotoxic","")&amp;IF(AB75="Y","/myotoxic","")&amp;IF(AC75="Y","/cardiotoxic",""),2,1))&amp;MID(IF(V75="Y","/neurotoxic","")&amp;IF(W75="Y","/hemotoxic","")&amp;IF(X75="Y","/procoagulant","")&amp;IF(Y75="Y","/anticoagulant","")&amp;IF(Z75="Y","/hemorrhagic","")&amp;IF(AA75="Y","/cytotoxic","")&amp;IF(AB75="Y","/myotoxic","")&amp;IF(AC75="Y","/cardiotoxic",""),3,200))</f>
        <v>Neurotoxic/cytotoxic</v>
      </c>
      <c r="G75" s="19" t="n">
        <f aca="false">IFERROR(INDEX('LD50 Sources'!$C$2:$C$1000,MATCH($A75,'LD50 Sources'!$L$2:$L$1000,0)),"")</f>
        <v>0.6</v>
      </c>
      <c r="H75" s="11" t="str">
        <f aca="false">IFERROR(INDEX('LD50 Sources'!$D$2:$D$1000,MATCH($A75,'LD50 Sources'!$L$2:$L$1000,0))&amp;"","")</f>
        <v>SC</v>
      </c>
      <c r="I75" s="11" t="str">
        <f aca="false">IFERROR(INDEX('LD50 Sources'!$H$2:$H$1000,MATCH($A75,'LD50 Sources'!$L$2:$L$1000,0))&amp;"","")</f>
        <v>C</v>
      </c>
      <c r="J75" s="20" t="str">
        <f aca="false">IF(COUNTIFS('LD50 Sources'!$A$2:$A$1000,$A75,'LD50 Sources'!$K$2:$K$1000,1)&lt;2,"",ROUND(_xlfn.MAXIFS('LD50 Sources'!$C$2:$C$1000,'LD50 Sources'!$A$2:$A$1000,$A75,'LD50 Sources'!$K$2:$K$1000,1)/_xlfn.MINIFS('LD50 Sources'!$C$2:$C$1000,'LD50 Sources'!$A$2:$A$1000,$A75,'LD50 Sources'!$K$2:$K$1000,1),1))</f>
        <v/>
      </c>
      <c r="K75" s="21" t="n">
        <f aca="false">IFERROR(INDEX('Yield Sources'!$C$2:$C$1000,MATCH($A75,'Yield Sources'!$N$2:$N$1000,0)),"")</f>
        <v>150</v>
      </c>
      <c r="L75" s="21" t="n">
        <f aca="false">IFERROR(INDEX('Yield Sources'!$D$2:$D$1000,MATCH($A75,'Yield Sources'!$N$2:$N$1000,0)),"")</f>
        <v>250</v>
      </c>
      <c r="M75" s="11" t="str">
        <f aca="false">IFERROR(INDEX('Yield Sources'!$J$2:$J$1000,MATCH($A75,'Yield Sources'!$N$2:$N$1000,0))&amp;"","")</f>
        <v>C</v>
      </c>
      <c r="N75" s="20" t="str">
        <f aca="false">IF(COUNTIFS('Yield Sources'!$A$2:$A$1000,$A75,'Yield Sources'!$M$2:$M$1000,1)&lt;2,"",ROUND(_xlfn.MAXIFS('Yield Sources'!$D$2:$D$1000,'Yield Sources'!$A$2:$A$1000,$A75,'Yield Sources'!$M$2:$M$1000,1)/_xlfn.MINIFS('Yield Sources'!$D$2:$D$1000,'Yield Sources'!$A$2:$A$1000,$A75,'Yield Sources'!$M$2:$M$1000,1),1))</f>
        <v/>
      </c>
      <c r="O75" s="8" t="n">
        <v>7</v>
      </c>
      <c r="P75" s="8" t="n">
        <v>3</v>
      </c>
      <c r="Q75" s="5" t="s">
        <v>167</v>
      </c>
      <c r="R75" s="5" t="s">
        <v>160</v>
      </c>
      <c r="S75" s="11" t="str">
        <f aca="false">IFERROR(INDEX('Clinical Sources'!$M$2:$M$1000,MATCH($A75&amp;"|Annual deaths",'Clinical Sources'!$N$2:$N$1000,0)),"")</f>
        <v/>
      </c>
      <c r="T75" s="11" t="str">
        <f aca="false">IFERROR(INDEX('Clinical Sources'!$M$2:$M$1000,MATCH($A75&amp;"|Case-fatality rate",'Clinical Sources'!$N$2:$N$1000,0)),"")</f>
        <v>14.7% (Taiwan, 1904-1938) [treatment unclear] *</v>
      </c>
      <c r="U75" s="9" t="s">
        <v>480</v>
      </c>
      <c r="V75" s="22" t="s">
        <v>153</v>
      </c>
      <c r="W75" s="22"/>
      <c r="X75" s="22"/>
      <c r="Y75" s="22"/>
      <c r="Z75" s="22"/>
      <c r="AA75" s="22" t="s">
        <v>153</v>
      </c>
      <c r="AB75" s="22"/>
      <c r="AC75" s="22"/>
      <c r="AD75" s="13" t="s">
        <v>154</v>
      </c>
      <c r="AE75" s="9" t="s">
        <v>481</v>
      </c>
    </row>
    <row r="76" customFormat="false" ht="14.25" hidden="false" customHeight="true" outlineLevel="0" collapsed="false">
      <c r="A76" s="4" t="s">
        <v>38</v>
      </c>
      <c r="B76" s="5" t="s">
        <v>482</v>
      </c>
      <c r="C76" s="9" t="s">
        <v>483</v>
      </c>
      <c r="D76" s="5" t="s">
        <v>165</v>
      </c>
      <c r="E76" s="5" t="s">
        <v>484</v>
      </c>
      <c r="F76" s="11" t="str">
        <f aca="false">IF(COUNTIF(V76:AC76,"Y")=0,"",UPPER(MID(IF(V76="Y","/neurotoxic","")&amp;IF(W76="Y","/hemotoxic","")&amp;IF(X76="Y","/procoagulant","")&amp;IF(Y76="Y","/anticoagulant","")&amp;IF(Z76="Y","/hemorrhagic","")&amp;IF(AA76="Y","/cytotoxic","")&amp;IF(AB76="Y","/myotoxic","")&amp;IF(AC76="Y","/cardiotoxic",""),2,1))&amp;MID(IF(V76="Y","/neurotoxic","")&amp;IF(W76="Y","/hemotoxic","")&amp;IF(X76="Y","/procoagulant","")&amp;IF(Y76="Y","/anticoagulant","")&amp;IF(Z76="Y","/hemorrhagic","")&amp;IF(AA76="Y","/cytotoxic","")&amp;IF(AB76="Y","/myotoxic","")&amp;IF(AC76="Y","/cardiotoxic",""),3,200))</f>
        <v>Neurotoxic</v>
      </c>
      <c r="G76" s="19" t="n">
        <f aca="false">IFERROR(INDEX('LD50 Sources'!$C$2:$C$1000,MATCH($A76,'LD50 Sources'!$L$2:$L$1000,0)),"")</f>
        <v>0.4</v>
      </c>
      <c r="H76" s="11" t="str">
        <f aca="false">IFERROR(INDEX('LD50 Sources'!$D$2:$D$1000,MATCH($A76,'LD50 Sources'!$L$2:$L$1000,0))&amp;"","")</f>
        <v>SC</v>
      </c>
      <c r="I76" s="11" t="str">
        <f aca="false">IFERROR(INDEX('LD50 Sources'!$H$2:$H$1000,MATCH($A76,'LD50 Sources'!$L$2:$L$1000,0))&amp;"","")</f>
        <v>C</v>
      </c>
      <c r="J76" s="20" t="str">
        <f aca="false">IF(COUNTIFS('LD50 Sources'!$A$2:$A$1000,$A76,'LD50 Sources'!$K$2:$K$1000,1)&lt;2,"",ROUND(_xlfn.MAXIFS('LD50 Sources'!$C$2:$C$1000,'LD50 Sources'!$A$2:$A$1000,$A76,'LD50 Sources'!$K$2:$K$1000,1)/_xlfn.MINIFS('LD50 Sources'!$C$2:$C$1000,'LD50 Sources'!$A$2:$A$1000,$A76,'LD50 Sources'!$K$2:$K$1000,1),1))</f>
        <v/>
      </c>
      <c r="K76" s="21" t="n">
        <f aca="false">IFERROR(INDEX('Yield Sources'!$C$2:$C$1000,MATCH($A76,'Yield Sources'!$N$2:$N$1000,0)),"")</f>
        <v>120</v>
      </c>
      <c r="L76" s="21" t="n">
        <f aca="false">IFERROR(INDEX('Yield Sources'!$D$2:$D$1000,MATCH($A76,'Yield Sources'!$N$2:$N$1000,0)),"")</f>
        <v>250</v>
      </c>
      <c r="M76" s="11" t="str">
        <f aca="false">IFERROR(INDEX('Yield Sources'!$J$2:$J$1000,MATCH($A76,'Yield Sources'!$N$2:$N$1000,0))&amp;"","")</f>
        <v>C</v>
      </c>
      <c r="N76" s="20" t="str">
        <f aca="false">IF(COUNTIFS('Yield Sources'!$A$2:$A$1000,$A76,'Yield Sources'!$M$2:$M$1000,1)&lt;2,"",ROUND(_xlfn.MAXIFS('Yield Sources'!$D$2:$D$1000,'Yield Sources'!$A$2:$A$1000,$A76,'Yield Sources'!$M$2:$M$1000,1)/_xlfn.MINIFS('Yield Sources'!$D$2:$D$1000,'Yield Sources'!$A$2:$A$1000,$A76,'Yield Sources'!$M$2:$M$1000,1),1))</f>
        <v/>
      </c>
      <c r="O76" s="8" t="n">
        <v>7</v>
      </c>
      <c r="P76" s="8" t="n">
        <v>4</v>
      </c>
      <c r="Q76" s="5" t="s">
        <v>167</v>
      </c>
      <c r="R76" s="5" t="s">
        <v>160</v>
      </c>
      <c r="S76" s="11" t="str">
        <f aca="false">IFERROR(INDEX('Clinical Sources'!$M$2:$M$1000,MATCH($A76&amp;"|Annual deaths",'Clinical Sources'!$N$2:$N$1000,0)),"")</f>
        <v/>
      </c>
      <c r="T76" s="11" t="str">
        <f aca="false">IFERROR(INDEX('Clinical Sources'!$M$2:$M$1000,MATCH($A76&amp;"|Case-fatality rate",'Clinical Sources'!$N$2:$N$1000,0)),"")</f>
        <v/>
      </c>
      <c r="U76" s="9" t="s">
        <v>485</v>
      </c>
      <c r="V76" s="22" t="s">
        <v>153</v>
      </c>
      <c r="W76" s="22"/>
      <c r="X76" s="22"/>
      <c r="Y76" s="22"/>
      <c r="Z76" s="22"/>
      <c r="AA76" s="22"/>
      <c r="AB76" s="22"/>
      <c r="AC76" s="22"/>
      <c r="AD76" s="13" t="s">
        <v>154</v>
      </c>
      <c r="AE76" s="9" t="s">
        <v>486</v>
      </c>
    </row>
    <row r="77" customFormat="false" ht="14.25" hidden="false" customHeight="true" outlineLevel="0" collapsed="false">
      <c r="A77" s="4" t="s">
        <v>26</v>
      </c>
      <c r="B77" s="5" t="s">
        <v>487</v>
      </c>
      <c r="C77" s="9" t="s">
        <v>488</v>
      </c>
      <c r="D77" s="5" t="s">
        <v>165</v>
      </c>
      <c r="E77" s="5" t="s">
        <v>149</v>
      </c>
      <c r="F77" s="11" t="str">
        <f aca="false">IF(COUNTIF(V77:AC77,"Y")=0,"",UPPER(MID(IF(V77="Y","/neurotoxic","")&amp;IF(W77="Y","/hemotoxic","")&amp;IF(X77="Y","/procoagulant","")&amp;IF(Y77="Y","/anticoagulant","")&amp;IF(Z77="Y","/hemorrhagic","")&amp;IF(AA77="Y","/cytotoxic","")&amp;IF(AB77="Y","/myotoxic","")&amp;IF(AC77="Y","/cardiotoxic",""),2,1))&amp;MID(IF(V77="Y","/neurotoxic","")&amp;IF(W77="Y","/hemotoxic","")&amp;IF(X77="Y","/procoagulant","")&amp;IF(Y77="Y","/anticoagulant","")&amp;IF(Z77="Y","/hemorrhagic","")&amp;IF(AA77="Y","/cytotoxic","")&amp;IF(AB77="Y","/myotoxic","")&amp;IF(AC77="Y","/cardiotoxic",""),3,200))</f>
        <v>Neurotoxic/myotoxic/cardiotoxic</v>
      </c>
      <c r="G77" s="19" t="n">
        <f aca="false">IFERROR(INDEX('LD50 Sources'!$C$2:$C$1000,MATCH($A77,'LD50 Sources'!$L$2:$L$1000,0)),"")</f>
        <v>0.225</v>
      </c>
      <c r="H77" s="11" t="str">
        <f aca="false">IFERROR(INDEX('LD50 Sources'!$D$2:$D$1000,MATCH($A77,'LD50 Sources'!$L$2:$L$1000,0))&amp;"","")</f>
        <v>IP</v>
      </c>
      <c r="I77" s="11" t="str">
        <f aca="false">IFERROR(INDEX('LD50 Sources'!$H$2:$H$1000,MATCH($A77,'LD50 Sources'!$L$2:$L$1000,0))&amp;"","")</f>
        <v>C</v>
      </c>
      <c r="J77" s="20" t="str">
        <f aca="false">IF(COUNTIFS('LD50 Sources'!$A$2:$A$1000,$A77,'LD50 Sources'!$K$2:$K$1000,1)&lt;2,"",ROUND(_xlfn.MAXIFS('LD50 Sources'!$C$2:$C$1000,'LD50 Sources'!$A$2:$A$1000,$A77,'LD50 Sources'!$K$2:$K$1000,1)/_xlfn.MINIFS('LD50 Sources'!$C$2:$C$1000,'LD50 Sources'!$A$2:$A$1000,$A77,'LD50 Sources'!$K$2:$K$1000,1),1))</f>
        <v/>
      </c>
      <c r="K77" s="21" t="n">
        <f aca="false">IFERROR(INDEX('Yield Sources'!$C$2:$C$1000,MATCH($A77,'Yield Sources'!$N$2:$N$1000,0)),"")</f>
        <v>150</v>
      </c>
      <c r="L77" s="21" t="n">
        <f aca="false">IFERROR(INDEX('Yield Sources'!$D$2:$D$1000,MATCH($A77,'Yield Sources'!$N$2:$N$1000,0)),"")</f>
        <v>600</v>
      </c>
      <c r="M77" s="11" t="str">
        <f aca="false">IFERROR(INDEX('Yield Sources'!$J$2:$J$1000,MATCH($A77,'Yield Sources'!$N$2:$N$1000,0))&amp;"","")</f>
        <v>C</v>
      </c>
      <c r="N77" s="20" t="str">
        <f aca="false">IF(COUNTIFS('Yield Sources'!$A$2:$A$1000,$A77,'Yield Sources'!$M$2:$M$1000,1)&lt;2,"",ROUND(_xlfn.MAXIFS('Yield Sources'!$D$2:$D$1000,'Yield Sources'!$A$2:$A$1000,$A77,'Yield Sources'!$M$2:$M$1000,1)/_xlfn.MINIFS('Yield Sources'!$D$2:$D$1000,'Yield Sources'!$A$2:$A$1000,$A77,'Yield Sources'!$M$2:$M$1000,1),1))</f>
        <v/>
      </c>
      <c r="O77" s="8" t="n">
        <v>7</v>
      </c>
      <c r="P77" s="8" t="n">
        <v>3</v>
      </c>
      <c r="Q77" s="5" t="s">
        <v>167</v>
      </c>
      <c r="R77" s="5" t="s">
        <v>160</v>
      </c>
      <c r="S77" s="11" t="str">
        <f aca="false">IFERROR(INDEX('Clinical Sources'!$M$2:$M$1000,MATCH($A77&amp;"|Annual deaths",'Clinical Sources'!$N$2:$N$1000,0)),"")</f>
        <v/>
      </c>
      <c r="T77" s="11" t="str">
        <f aca="false">IFERROR(INDEX('Clinical Sources'!$M$2:$M$1000,MATCH($A77&amp;"|Case-fatality rate",'Clinical Sources'!$N$2:$N$1000,0)),"")</f>
        <v/>
      </c>
      <c r="U77" s="9"/>
      <c r="V77" s="22" t="s">
        <v>153</v>
      </c>
      <c r="W77" s="22"/>
      <c r="X77" s="22"/>
      <c r="Y77" s="22"/>
      <c r="Z77" s="22"/>
      <c r="AA77" s="22"/>
      <c r="AB77" s="22" t="s">
        <v>153</v>
      </c>
      <c r="AC77" s="22" t="s">
        <v>153</v>
      </c>
      <c r="AD77" s="13" t="s">
        <v>154</v>
      </c>
      <c r="AE77" s="9" t="s">
        <v>489</v>
      </c>
    </row>
    <row r="78" customFormat="false" ht="14.25" hidden="false" customHeight="true" outlineLevel="0" collapsed="false">
      <c r="A78" s="4" t="s">
        <v>58</v>
      </c>
      <c r="B78" s="5" t="s">
        <v>490</v>
      </c>
      <c r="C78" s="9" t="s">
        <v>491</v>
      </c>
      <c r="D78" s="5" t="s">
        <v>165</v>
      </c>
      <c r="E78" s="5" t="s">
        <v>492</v>
      </c>
      <c r="F78" s="11" t="str">
        <f aca="false">IF(COUNTIF(V78:AC78,"Y")=0,"",UPPER(MID(IF(V78="Y","/neurotoxic","")&amp;IF(W78="Y","/hemotoxic","")&amp;IF(X78="Y","/procoagulant","")&amp;IF(Y78="Y","/anticoagulant","")&amp;IF(Z78="Y","/hemorrhagic","")&amp;IF(AA78="Y","/cytotoxic","")&amp;IF(AB78="Y","/myotoxic","")&amp;IF(AC78="Y","/cardiotoxic",""),2,1))&amp;MID(IF(V78="Y","/neurotoxic","")&amp;IF(W78="Y","/hemotoxic","")&amp;IF(X78="Y","/procoagulant","")&amp;IF(Y78="Y","/anticoagulant","")&amp;IF(Z78="Y","/hemorrhagic","")&amp;IF(AA78="Y","/cytotoxic","")&amp;IF(AB78="Y","/myotoxic","")&amp;IF(AC78="Y","/cardiotoxic",""),3,200))</f>
        <v>Neurotoxic/cardiotoxic</v>
      </c>
      <c r="G78" s="19" t="n">
        <f aca="false">IFERROR(INDEX('LD50 Sources'!$C$2:$C$1000,MATCH($A78,'LD50 Sources'!$L$2:$L$1000,0)),"")</f>
        <v>0.7</v>
      </c>
      <c r="H78" s="11" t="str">
        <f aca="false">IFERROR(INDEX('LD50 Sources'!$D$2:$D$1000,MATCH($A78,'LD50 Sources'!$L$2:$L$1000,0))&amp;"","")</f>
        <v>unknown</v>
      </c>
      <c r="I78" s="11" t="str">
        <f aca="false">IFERROR(INDEX('LD50 Sources'!$H$2:$H$1000,MATCH($A78,'LD50 Sources'!$L$2:$L$1000,0))&amp;"","")</f>
        <v>C</v>
      </c>
      <c r="J78" s="20" t="str">
        <f aca="false">IF(COUNTIFS('LD50 Sources'!$A$2:$A$1000,$A78,'LD50 Sources'!$K$2:$K$1000,1)&lt;2,"",ROUND(_xlfn.MAXIFS('LD50 Sources'!$C$2:$C$1000,'LD50 Sources'!$A$2:$A$1000,$A78,'LD50 Sources'!$K$2:$K$1000,1)/_xlfn.MINIFS('LD50 Sources'!$C$2:$C$1000,'LD50 Sources'!$A$2:$A$1000,$A78,'LD50 Sources'!$K$2:$K$1000,1),1))</f>
        <v/>
      </c>
      <c r="K78" s="21" t="n">
        <f aca="false">IFERROR(INDEX('Yield Sources'!$C$2:$C$1000,MATCH($A78,'Yield Sources'!$N$2:$N$1000,0)),"")</f>
        <v>60</v>
      </c>
      <c r="L78" s="21" t="n">
        <f aca="false">IFERROR(INDEX('Yield Sources'!$D$2:$D$1000,MATCH($A78,'Yield Sources'!$N$2:$N$1000,0)),"")</f>
        <v>100</v>
      </c>
      <c r="M78" s="11" t="str">
        <f aca="false">IFERROR(INDEX('Yield Sources'!$J$2:$J$1000,MATCH($A78,'Yield Sources'!$N$2:$N$1000,0))&amp;"","")</f>
        <v>C</v>
      </c>
      <c r="N78" s="20" t="str">
        <f aca="false">IF(COUNTIFS('Yield Sources'!$A$2:$A$1000,$A78,'Yield Sources'!$M$2:$M$1000,1)&lt;2,"",ROUND(_xlfn.MAXIFS('Yield Sources'!$D$2:$D$1000,'Yield Sources'!$A$2:$A$1000,$A78,'Yield Sources'!$M$2:$M$1000,1)/_xlfn.MINIFS('Yield Sources'!$D$2:$D$1000,'Yield Sources'!$A$2:$A$1000,$A78,'Yield Sources'!$M$2:$M$1000,1),1))</f>
        <v/>
      </c>
      <c r="O78" s="8" t="n">
        <v>4</v>
      </c>
      <c r="P78" s="8" t="n">
        <v>2</v>
      </c>
      <c r="Q78" s="5" t="s">
        <v>167</v>
      </c>
      <c r="R78" s="5" t="s">
        <v>160</v>
      </c>
      <c r="S78" s="11" t="str">
        <f aca="false">IFERROR(INDEX('Clinical Sources'!$M$2:$M$1000,MATCH($A78&amp;"|Annual deaths",'Clinical Sources'!$N$2:$N$1000,0)),"")</f>
        <v/>
      </c>
      <c r="T78" s="11" t="str">
        <f aca="false">IFERROR(INDEX('Clinical Sources'!$M$2:$M$1000,MATCH($A78&amp;"|Case-fatality rate",'Clinical Sources'!$N$2:$N$1000,0)),"")</f>
        <v/>
      </c>
      <c r="U78" s="9" t="s">
        <v>493</v>
      </c>
      <c r="V78" s="22" t="s">
        <v>153</v>
      </c>
      <c r="W78" s="22"/>
      <c r="X78" s="22"/>
      <c r="Y78" s="22"/>
      <c r="Z78" s="22"/>
      <c r="AA78" s="22"/>
      <c r="AB78" s="22"/>
      <c r="AC78" s="22" t="s">
        <v>153</v>
      </c>
      <c r="AD78" s="13" t="s">
        <v>154</v>
      </c>
      <c r="AE78" s="9" t="s">
        <v>494</v>
      </c>
    </row>
    <row r="79" customFormat="false" ht="26.25" hidden="false" customHeight="true" outlineLevel="0" collapsed="false">
      <c r="A79" s="4" t="s">
        <v>102</v>
      </c>
      <c r="B79" s="5" t="s">
        <v>495</v>
      </c>
      <c r="C79" s="9" t="s">
        <v>496</v>
      </c>
      <c r="D79" s="5" t="s">
        <v>165</v>
      </c>
      <c r="E79" s="5" t="s">
        <v>497</v>
      </c>
      <c r="F79" s="11" t="str">
        <f aca="false">IF(COUNTIF(V79:AC79,"Y")=0,"",UPPER(MID(IF(V79="Y","/neurotoxic","")&amp;IF(W79="Y","/hemotoxic","")&amp;IF(X79="Y","/procoagulant","")&amp;IF(Y79="Y","/anticoagulant","")&amp;IF(Z79="Y","/hemorrhagic","")&amp;IF(AA79="Y","/cytotoxic","")&amp;IF(AB79="Y","/myotoxic","")&amp;IF(AC79="Y","/cardiotoxic",""),2,1))&amp;MID(IF(V79="Y","/neurotoxic","")&amp;IF(W79="Y","/hemotoxic","")&amp;IF(X79="Y","/procoagulant","")&amp;IF(Y79="Y","/anticoagulant","")&amp;IF(Z79="Y","/hemorrhagic","")&amp;IF(AA79="Y","/cytotoxic","")&amp;IF(AB79="Y","/myotoxic","")&amp;IF(AC79="Y","/cardiotoxic",""),3,200))</f>
        <v>Neurotoxic</v>
      </c>
      <c r="G79" s="19" t="n">
        <f aca="false">IFERROR(INDEX('LD50 Sources'!$C$2:$C$1000,MATCH($A79,'LD50 Sources'!$L$2:$L$1000,0)),"")</f>
        <v>0.075</v>
      </c>
      <c r="H79" s="11" t="str">
        <f aca="false">IFERROR(INDEX('LD50 Sources'!$D$2:$D$1000,MATCH($A79,'LD50 Sources'!$L$2:$L$1000,0))&amp;"","")</f>
        <v>unknown</v>
      </c>
      <c r="I79" s="11" t="str">
        <f aca="false">IFERROR(INDEX('LD50 Sources'!$H$2:$H$1000,MATCH($A79,'LD50 Sources'!$L$2:$L$1000,0))&amp;"","")</f>
        <v>C</v>
      </c>
      <c r="J79" s="20" t="str">
        <f aca="false">IF(COUNTIFS('LD50 Sources'!$A$2:$A$1000,$A79,'LD50 Sources'!$K$2:$K$1000,1)&lt;2,"",ROUND(_xlfn.MAXIFS('LD50 Sources'!$C$2:$C$1000,'LD50 Sources'!$A$2:$A$1000,$A79,'LD50 Sources'!$K$2:$K$1000,1)/_xlfn.MINIFS('LD50 Sources'!$C$2:$C$1000,'LD50 Sources'!$A$2:$A$1000,$A79,'LD50 Sources'!$K$2:$K$1000,1),1))</f>
        <v/>
      </c>
      <c r="K79" s="21" t="str">
        <f aca="false">IFERROR(INDEX('Yield Sources'!$C$2:$C$1000,MATCH($A79,'Yield Sources'!$N$2:$N$1000,0)),"")</f>
        <v/>
      </c>
      <c r="L79" s="21" t="str">
        <f aca="false">IFERROR(INDEX('Yield Sources'!$D$2:$D$1000,MATCH($A79,'Yield Sources'!$N$2:$N$1000,0)),"")</f>
        <v/>
      </c>
      <c r="M79" s="11" t="str">
        <f aca="false">IFERROR(INDEX('Yield Sources'!$J$2:$J$1000,MATCH($A79,'Yield Sources'!$N$2:$N$1000,0))&amp;"","")</f>
        <v/>
      </c>
      <c r="N79" s="20" t="str">
        <f aca="false">IF(COUNTIFS('Yield Sources'!$A$2:$A$1000,$A79,'Yield Sources'!$M$2:$M$1000,1)&lt;2,"",ROUND(_xlfn.MAXIFS('Yield Sources'!$D$2:$D$1000,'Yield Sources'!$A$2:$A$1000,$A79,'Yield Sources'!$M$2:$M$1000,1)/_xlfn.MINIFS('Yield Sources'!$D$2:$D$1000,'Yield Sources'!$A$2:$A$1000,$A79,'Yield Sources'!$M$2:$M$1000,1),1))</f>
        <v/>
      </c>
      <c r="O79" s="8" t="n">
        <v>1</v>
      </c>
      <c r="P79" s="8"/>
      <c r="Q79" s="5"/>
      <c r="R79" s="5" t="s">
        <v>151</v>
      </c>
      <c r="S79" s="11" t="str">
        <f aca="false">IFERROR(INDEX('Clinical Sources'!$M$2:$M$1000,MATCH($A79&amp;"|Annual deaths",'Clinical Sources'!$N$2:$N$1000,0)),"")</f>
        <v/>
      </c>
      <c r="T79" s="11" t="str">
        <f aca="false">IFERROR(INDEX('Clinical Sources'!$M$2:$M$1000,MATCH($A79&amp;"|Case-fatality rate",'Clinical Sources'!$N$2:$N$1000,0)),"")</f>
        <v/>
      </c>
      <c r="U79" s="9" t="s">
        <v>498</v>
      </c>
      <c r="V79" s="22" t="s">
        <v>153</v>
      </c>
      <c r="W79" s="22"/>
      <c r="X79" s="22"/>
      <c r="Y79" s="22"/>
      <c r="Z79" s="22"/>
      <c r="AA79" s="22"/>
      <c r="AB79" s="22"/>
      <c r="AC79" s="22"/>
      <c r="AD79" s="13" t="s">
        <v>154</v>
      </c>
      <c r="AE79" s="9" t="s">
        <v>499</v>
      </c>
    </row>
    <row r="80" customFormat="false" ht="14.25" hidden="false" customHeight="true" outlineLevel="0" collapsed="false">
      <c r="A80" s="4" t="s">
        <v>99</v>
      </c>
      <c r="B80" s="5" t="s">
        <v>500</v>
      </c>
      <c r="C80" s="9" t="s">
        <v>501</v>
      </c>
      <c r="D80" s="5" t="s">
        <v>165</v>
      </c>
      <c r="E80" s="5" t="s">
        <v>502</v>
      </c>
      <c r="F80" s="11" t="str">
        <f aca="false">IF(COUNTIF(V80:AC80,"Y")=0,"",UPPER(MID(IF(V80="Y","/neurotoxic","")&amp;IF(W80="Y","/hemotoxic","")&amp;IF(X80="Y","/procoagulant","")&amp;IF(Y80="Y","/anticoagulant","")&amp;IF(Z80="Y","/hemorrhagic","")&amp;IF(AA80="Y","/cytotoxic","")&amp;IF(AB80="Y","/myotoxic","")&amp;IF(AC80="Y","/cardiotoxic",""),2,1))&amp;MID(IF(V80="Y","/neurotoxic","")&amp;IF(W80="Y","/hemotoxic","")&amp;IF(X80="Y","/procoagulant","")&amp;IF(Y80="Y","/anticoagulant","")&amp;IF(Z80="Y","/hemorrhagic","")&amp;IF(AA80="Y","/cytotoxic","")&amp;IF(AB80="Y","/myotoxic","")&amp;IF(AC80="Y","/cardiotoxic",""),3,200))</f>
        <v>Neurotoxic/myotoxic</v>
      </c>
      <c r="G80" s="19" t="n">
        <f aca="false">IFERROR(INDEX('LD50 Sources'!$C$2:$C$1000,MATCH($A80,'LD50 Sources'!$L$2:$L$1000,0)),"")</f>
        <v>0.079</v>
      </c>
      <c r="H80" s="11" t="str">
        <f aca="false">IFERROR(INDEX('LD50 Sources'!$D$2:$D$1000,MATCH($A80,'LD50 Sources'!$L$2:$L$1000,0))&amp;"","")</f>
        <v>SC</v>
      </c>
      <c r="I80" s="11" t="str">
        <f aca="false">IFERROR(INDEX('LD50 Sources'!$H$2:$H$1000,MATCH($A80,'LD50 Sources'!$L$2:$L$1000,0))&amp;"","")</f>
        <v>C</v>
      </c>
      <c r="J80" s="20" t="str">
        <f aca="false">IF(COUNTIFS('LD50 Sources'!$A$2:$A$1000,$A80,'LD50 Sources'!$K$2:$K$1000,1)&lt;2,"",ROUND(_xlfn.MAXIFS('LD50 Sources'!$C$2:$C$1000,'LD50 Sources'!$A$2:$A$1000,$A80,'LD50 Sources'!$K$2:$K$1000,1)/_xlfn.MINIFS('LD50 Sources'!$C$2:$C$1000,'LD50 Sources'!$A$2:$A$1000,$A80,'LD50 Sources'!$K$2:$K$1000,1),1))</f>
        <v/>
      </c>
      <c r="K80" s="21" t="str">
        <f aca="false">IFERROR(INDEX('Yield Sources'!$C$2:$C$1000,MATCH($A80,'Yield Sources'!$N$2:$N$1000,0)),"")</f>
        <v/>
      </c>
      <c r="L80" s="21" t="str">
        <f aca="false">IFERROR(INDEX('Yield Sources'!$D$2:$D$1000,MATCH($A80,'Yield Sources'!$N$2:$N$1000,0)),"")</f>
        <v/>
      </c>
      <c r="M80" s="11" t="str">
        <f aca="false">IFERROR(INDEX('Yield Sources'!$J$2:$J$1000,MATCH($A80,'Yield Sources'!$N$2:$N$1000,0))&amp;"","")</f>
        <v/>
      </c>
      <c r="N80" s="20" t="str">
        <f aca="false">IF(COUNTIFS('Yield Sources'!$A$2:$A$1000,$A80,'Yield Sources'!$M$2:$M$1000,1)&lt;2,"",ROUND(_xlfn.MAXIFS('Yield Sources'!$D$2:$D$1000,'Yield Sources'!$A$2:$A$1000,$A80,'Yield Sources'!$M$2:$M$1000,1)/_xlfn.MINIFS('Yield Sources'!$D$2:$D$1000,'Yield Sources'!$A$2:$A$1000,$A80,'Yield Sources'!$M$2:$M$1000,1),1))</f>
        <v/>
      </c>
      <c r="O80" s="8" t="n">
        <v>1</v>
      </c>
      <c r="P80" s="8" t="n">
        <v>2</v>
      </c>
      <c r="Q80" s="5" t="s">
        <v>173</v>
      </c>
      <c r="R80" s="5" t="s">
        <v>174</v>
      </c>
      <c r="S80" s="11" t="str">
        <f aca="false">IFERROR(INDEX('Clinical Sources'!$M$2:$M$1000,MATCH($A80&amp;"|Annual deaths",'Clinical Sources'!$N$2:$N$1000,0)),"")</f>
        <v/>
      </c>
      <c r="T80" s="11" t="str">
        <f aca="false">IFERROR(INDEX('Clinical Sources'!$M$2:$M$1000,MATCH($A80&amp;"|Case-fatality rate",'Clinical Sources'!$N$2:$N$1000,0)),"")</f>
        <v/>
      </c>
      <c r="U80" s="9" t="s">
        <v>503</v>
      </c>
      <c r="V80" s="22" t="s">
        <v>153</v>
      </c>
      <c r="W80" s="22"/>
      <c r="X80" s="22"/>
      <c r="Y80" s="22"/>
      <c r="Z80" s="22"/>
      <c r="AA80" s="22"/>
      <c r="AB80" s="22" t="s">
        <v>153</v>
      </c>
      <c r="AC80" s="22"/>
      <c r="AD80" s="13" t="s">
        <v>154</v>
      </c>
      <c r="AE80" s="9" t="s">
        <v>504</v>
      </c>
    </row>
    <row r="81" customFormat="false" ht="52.5" hidden="false" customHeight="true" outlineLevel="0" collapsed="false">
      <c r="A81" s="4" t="s">
        <v>92</v>
      </c>
      <c r="B81" s="5" t="s">
        <v>505</v>
      </c>
      <c r="C81" s="9" t="s">
        <v>506</v>
      </c>
      <c r="D81" s="5" t="s">
        <v>165</v>
      </c>
      <c r="E81" s="5" t="s">
        <v>507</v>
      </c>
      <c r="F81" s="11" t="str">
        <f aca="false">IF(COUNTIF(V81:AC81,"Y")=0,"",UPPER(MID(IF(V81="Y","/neurotoxic","")&amp;IF(W81="Y","/hemotoxic","")&amp;IF(X81="Y","/procoagulant","")&amp;IF(Y81="Y","/anticoagulant","")&amp;IF(Z81="Y","/hemorrhagic","")&amp;IF(AA81="Y","/cytotoxic","")&amp;IF(AB81="Y","/myotoxic","")&amp;IF(AC81="Y","/cardiotoxic",""),2,1))&amp;MID(IF(V81="Y","/neurotoxic","")&amp;IF(W81="Y","/hemotoxic","")&amp;IF(X81="Y","/procoagulant","")&amp;IF(Y81="Y","/anticoagulant","")&amp;IF(Z81="Y","/hemorrhagic","")&amp;IF(AA81="Y","/cytotoxic","")&amp;IF(AB81="Y","/myotoxic","")&amp;IF(AC81="Y","/cardiotoxic",""),3,200))</f>
        <v>Neurotoxic</v>
      </c>
      <c r="G81" s="19" t="n">
        <f aca="false">IFERROR(INDEX('LD50 Sources'!$C$2:$C$1000,MATCH($A81,'LD50 Sources'!$L$2:$L$1000,0)),"")</f>
        <v>0.108</v>
      </c>
      <c r="H81" s="11" t="str">
        <f aca="false">IFERROR(INDEX('LD50 Sources'!$D$2:$D$1000,MATCH($A81,'LD50 Sources'!$L$2:$L$1000,0))&amp;"","")</f>
        <v>SC</v>
      </c>
      <c r="I81" s="11" t="str">
        <f aca="false">IFERROR(INDEX('LD50 Sources'!$H$2:$H$1000,MATCH($A81,'LD50 Sources'!$L$2:$L$1000,0))&amp;"","")</f>
        <v>C</v>
      </c>
      <c r="J81" s="20" t="str">
        <f aca="false">IF(COUNTIFS('LD50 Sources'!$A$2:$A$1000,$A81,'LD50 Sources'!$K$2:$K$1000,1)&lt;2,"",ROUND(_xlfn.MAXIFS('LD50 Sources'!$C$2:$C$1000,'LD50 Sources'!$A$2:$A$1000,$A81,'LD50 Sources'!$K$2:$K$1000,1)/_xlfn.MINIFS('LD50 Sources'!$C$2:$C$1000,'LD50 Sources'!$A$2:$A$1000,$A81,'LD50 Sources'!$K$2:$K$1000,1),1))</f>
        <v/>
      </c>
      <c r="K81" s="21" t="str">
        <f aca="false">IFERROR(INDEX('Yield Sources'!$C$2:$C$1000,MATCH($A81,'Yield Sources'!$N$2:$N$1000,0)),"")</f>
        <v/>
      </c>
      <c r="L81" s="21" t="str">
        <f aca="false">IFERROR(INDEX('Yield Sources'!$D$2:$D$1000,MATCH($A81,'Yield Sources'!$N$2:$N$1000,0)),"")</f>
        <v/>
      </c>
      <c r="M81" s="11" t="str">
        <f aca="false">IFERROR(INDEX('Yield Sources'!$J$2:$J$1000,MATCH($A81,'Yield Sources'!$N$2:$N$1000,0))&amp;"","")</f>
        <v/>
      </c>
      <c r="N81" s="20" t="str">
        <f aca="false">IF(COUNTIFS('Yield Sources'!$A$2:$A$1000,$A81,'Yield Sources'!$M$2:$M$1000,1)&lt;2,"",ROUND(_xlfn.MAXIFS('Yield Sources'!$D$2:$D$1000,'Yield Sources'!$A$2:$A$1000,$A81,'Yield Sources'!$M$2:$M$1000,1)/_xlfn.MINIFS('Yield Sources'!$D$2:$D$1000,'Yield Sources'!$A$2:$A$1000,$A81,'Yield Sources'!$M$2:$M$1000,1),1))</f>
        <v/>
      </c>
      <c r="O81" s="8" t="n">
        <v>8</v>
      </c>
      <c r="P81" s="8" t="n">
        <v>2</v>
      </c>
      <c r="Q81" s="5" t="s">
        <v>167</v>
      </c>
      <c r="R81" s="5" t="s">
        <v>160</v>
      </c>
      <c r="S81" s="11" t="str">
        <f aca="false">IFERROR(INDEX('Clinical Sources'!$M$2:$M$1000,MATCH($A81&amp;"|Annual deaths",'Clinical Sources'!$N$2:$N$1000,0)),"")</f>
        <v/>
      </c>
      <c r="T81" s="11" t="str">
        <f aca="false">IFERROR(INDEX('Clinical Sources'!$M$2:$M$1000,MATCH($A81&amp;"|Case-fatality rate",'Clinical Sources'!$N$2:$N$1000,0)),"")</f>
        <v/>
      </c>
      <c r="U81" s="9" t="s">
        <v>508</v>
      </c>
      <c r="V81" s="22" t="s">
        <v>153</v>
      </c>
      <c r="W81" s="22"/>
      <c r="X81" s="22"/>
      <c r="Y81" s="22"/>
      <c r="Z81" s="22"/>
      <c r="AA81" s="22"/>
      <c r="AB81" s="22"/>
      <c r="AC81" s="22"/>
      <c r="AD81" s="13" t="s">
        <v>154</v>
      </c>
      <c r="AE81" s="9" t="s">
        <v>509</v>
      </c>
    </row>
    <row r="82" customFormat="false" ht="26.25" hidden="false" customHeight="true" outlineLevel="0" collapsed="false">
      <c r="A82" s="4" t="s">
        <v>65</v>
      </c>
      <c r="B82" s="5" t="s">
        <v>510</v>
      </c>
      <c r="C82" s="9" t="s">
        <v>511</v>
      </c>
      <c r="D82" s="5" t="s">
        <v>165</v>
      </c>
      <c r="E82" s="5" t="s">
        <v>512</v>
      </c>
      <c r="F82" s="11" t="str">
        <f aca="false">IF(COUNTIF(V82:AC82,"Y")=0,"",UPPER(MID(IF(V82="Y","/neurotoxic","")&amp;IF(W82="Y","/hemotoxic","")&amp;IF(X82="Y","/procoagulant","")&amp;IF(Y82="Y","/anticoagulant","")&amp;IF(Z82="Y","/hemorrhagic","")&amp;IF(AA82="Y","/cytotoxic","")&amp;IF(AB82="Y","/myotoxic","")&amp;IF(AC82="Y","/cardiotoxic",""),2,1))&amp;MID(IF(V82="Y","/neurotoxic","")&amp;IF(W82="Y","/hemotoxic","")&amp;IF(X82="Y","/procoagulant","")&amp;IF(Y82="Y","/anticoagulant","")&amp;IF(Z82="Y","/hemorrhagic","")&amp;IF(AA82="Y","/cytotoxic","")&amp;IF(AB82="Y","/myotoxic","")&amp;IF(AC82="Y","/cardiotoxic",""),3,200))</f>
        <v>Neurotoxic</v>
      </c>
      <c r="G82" s="19" t="n">
        <f aca="false">IFERROR(INDEX('LD50 Sources'!$C$2:$C$1000,MATCH($A82,'LD50 Sources'!$L$2:$L$1000,0)),"")</f>
        <v>0.21</v>
      </c>
      <c r="H82" s="11" t="str">
        <f aca="false">IFERROR(INDEX('LD50 Sources'!$D$2:$D$1000,MATCH($A82,'LD50 Sources'!$L$2:$L$1000,0))&amp;"","")</f>
        <v>SC</v>
      </c>
      <c r="I82" s="11" t="str">
        <f aca="false">IFERROR(INDEX('LD50 Sources'!$H$2:$H$1000,MATCH($A82,'LD50 Sources'!$L$2:$L$1000,0))&amp;"","")</f>
        <v>C</v>
      </c>
      <c r="J82" s="20" t="n">
        <f aca="false">IF(COUNTIFS('LD50 Sources'!$A$2:$A$1000,$A82,'LD50 Sources'!$K$2:$K$1000,1)&lt;2,"",ROUND(_xlfn.MAXIFS('LD50 Sources'!$C$2:$C$1000,'LD50 Sources'!$A$2:$A$1000,$A82,'LD50 Sources'!$K$2:$K$1000,1)/_xlfn.MINIFS('LD50 Sources'!$C$2:$C$1000,'LD50 Sources'!$A$2:$A$1000,$A82,'LD50 Sources'!$K$2:$K$1000,1),1))</f>
        <v>1.9</v>
      </c>
      <c r="K82" s="21" t="n">
        <f aca="false">IFERROR(INDEX('Yield Sources'!$C$2:$C$1000,MATCH($A82,'Yield Sources'!$N$2:$N$1000,0)),"")</f>
        <v>2</v>
      </c>
      <c r="L82" s="21" t="n">
        <f aca="false">IFERROR(INDEX('Yield Sources'!$D$2:$D$1000,MATCH($A82,'Yield Sources'!$N$2:$N$1000,0)),"")</f>
        <v>14</v>
      </c>
      <c r="M82" s="11" t="str">
        <f aca="false">IFERROR(INDEX('Yield Sources'!$J$2:$J$1000,MATCH($A82,'Yield Sources'!$N$2:$N$1000,0))&amp;"","")</f>
        <v>C</v>
      </c>
      <c r="N82" s="20" t="str">
        <f aca="false">IF(COUNTIFS('Yield Sources'!$A$2:$A$1000,$A82,'Yield Sources'!$M$2:$M$1000,1)&lt;2,"",ROUND(_xlfn.MAXIFS('Yield Sources'!$D$2:$D$1000,'Yield Sources'!$A$2:$A$1000,$A82,'Yield Sources'!$M$2:$M$1000,1)/_xlfn.MINIFS('Yield Sources'!$D$2:$D$1000,'Yield Sources'!$A$2:$A$1000,$A82,'Yield Sources'!$M$2:$M$1000,1),1))</f>
        <v/>
      </c>
      <c r="O82" s="8" t="n">
        <v>2</v>
      </c>
      <c r="P82" s="8" t="n">
        <v>2</v>
      </c>
      <c r="Q82" s="5" t="s">
        <v>173</v>
      </c>
      <c r="R82" s="5" t="s">
        <v>174</v>
      </c>
      <c r="S82" s="11" t="str">
        <f aca="false">IFERROR(INDEX('Clinical Sources'!$M$2:$M$1000,MATCH($A82&amp;"|Annual deaths",'Clinical Sources'!$N$2:$N$1000,0)),"")</f>
        <v/>
      </c>
      <c r="T82" s="11" t="str">
        <f aca="false">IFERROR(INDEX('Clinical Sources'!$M$2:$M$1000,MATCH($A82&amp;"|Case-fatality rate",'Clinical Sources'!$N$2:$N$1000,0)),"")</f>
        <v/>
      </c>
      <c r="U82" s="9"/>
      <c r="V82" s="22" t="s">
        <v>153</v>
      </c>
      <c r="W82" s="22"/>
      <c r="X82" s="22"/>
      <c r="Y82" s="22"/>
      <c r="Z82" s="22"/>
      <c r="AA82" s="22"/>
      <c r="AB82" s="22"/>
      <c r="AC82" s="22"/>
      <c r="AD82" s="13" t="s">
        <v>154</v>
      </c>
      <c r="AE82" s="9" t="s">
        <v>513</v>
      </c>
    </row>
    <row r="83" customFormat="false" ht="14.25" hidden="false" customHeight="true" outlineLevel="0" collapsed="false">
      <c r="A83" s="4" t="s">
        <v>98</v>
      </c>
      <c r="B83" s="5" t="s">
        <v>514</v>
      </c>
      <c r="C83" s="9" t="s">
        <v>515</v>
      </c>
      <c r="D83" s="5" t="s">
        <v>165</v>
      </c>
      <c r="E83" s="5" t="s">
        <v>516</v>
      </c>
      <c r="F83" s="11" t="str">
        <f aca="false">IF(COUNTIF(V83:AC83,"Y")=0,"",UPPER(MID(IF(V83="Y","/neurotoxic","")&amp;IF(W83="Y","/hemotoxic","")&amp;IF(X83="Y","/procoagulant","")&amp;IF(Y83="Y","/anticoagulant","")&amp;IF(Z83="Y","/hemorrhagic","")&amp;IF(AA83="Y","/cytotoxic","")&amp;IF(AB83="Y","/myotoxic","")&amp;IF(AC83="Y","/cardiotoxic",""),2,1))&amp;MID(IF(V83="Y","/neurotoxic","")&amp;IF(W83="Y","/hemotoxic","")&amp;IF(X83="Y","/procoagulant","")&amp;IF(Y83="Y","/anticoagulant","")&amp;IF(Z83="Y","/hemorrhagic","")&amp;IF(AA83="Y","/cytotoxic","")&amp;IF(AB83="Y","/myotoxic","")&amp;IF(AC83="Y","/cardiotoxic",""),3,200))</f>
        <v>Neurotoxic/myotoxic</v>
      </c>
      <c r="G83" s="19" t="n">
        <f aca="false">IFERROR(INDEX('LD50 Sources'!$C$2:$C$1000,MATCH($A83,'LD50 Sources'!$L$2:$L$1000,0)),"")</f>
        <v>0.155</v>
      </c>
      <c r="H83" s="11" t="str">
        <f aca="false">IFERROR(INDEX('LD50 Sources'!$D$2:$D$1000,MATCH($A83,'LD50 Sources'!$L$2:$L$1000,0))&amp;"","")</f>
        <v>IM</v>
      </c>
      <c r="I83" s="11" t="str">
        <f aca="false">IFERROR(INDEX('LD50 Sources'!$H$2:$H$1000,MATCH($A83,'LD50 Sources'!$L$2:$L$1000,0))&amp;"","")</f>
        <v>C</v>
      </c>
      <c r="J83" s="20" t="str">
        <f aca="false">IF(COUNTIFS('LD50 Sources'!$A$2:$A$1000,$A83,'LD50 Sources'!$K$2:$K$1000,1)&lt;2,"",ROUND(_xlfn.MAXIFS('LD50 Sources'!$C$2:$C$1000,'LD50 Sources'!$A$2:$A$1000,$A83,'LD50 Sources'!$K$2:$K$1000,1)/_xlfn.MINIFS('LD50 Sources'!$C$2:$C$1000,'LD50 Sources'!$A$2:$A$1000,$A83,'LD50 Sources'!$K$2:$K$1000,1),1))</f>
        <v/>
      </c>
      <c r="K83" s="21" t="str">
        <f aca="false">IFERROR(INDEX('Yield Sources'!$C$2:$C$1000,MATCH($A83,'Yield Sources'!$N$2:$N$1000,0)),"")</f>
        <v/>
      </c>
      <c r="L83" s="21" t="str">
        <f aca="false">IFERROR(INDEX('Yield Sources'!$D$2:$D$1000,MATCH($A83,'Yield Sources'!$N$2:$N$1000,0)),"")</f>
        <v/>
      </c>
      <c r="M83" s="11" t="str">
        <f aca="false">IFERROR(INDEX('Yield Sources'!$J$2:$J$1000,MATCH($A83,'Yield Sources'!$N$2:$N$1000,0))&amp;"","")</f>
        <v/>
      </c>
      <c r="N83" s="20" t="str">
        <f aca="false">IF(COUNTIFS('Yield Sources'!$A$2:$A$1000,$A83,'Yield Sources'!$M$2:$M$1000,1)&lt;2,"",ROUND(_xlfn.MAXIFS('Yield Sources'!$D$2:$D$1000,'Yield Sources'!$A$2:$A$1000,$A83,'Yield Sources'!$M$2:$M$1000,1)/_xlfn.MINIFS('Yield Sources'!$D$2:$D$1000,'Yield Sources'!$A$2:$A$1000,$A83,'Yield Sources'!$M$2:$M$1000,1),1))</f>
        <v/>
      </c>
      <c r="O83" s="8" t="n">
        <v>1</v>
      </c>
      <c r="P83" s="8" t="n">
        <v>1</v>
      </c>
      <c r="Q83" s="5" t="s">
        <v>173</v>
      </c>
      <c r="R83" s="5" t="s">
        <v>174</v>
      </c>
      <c r="S83" s="11" t="str">
        <f aca="false">IFERROR(INDEX('Clinical Sources'!$M$2:$M$1000,MATCH($A83&amp;"|Annual deaths",'Clinical Sources'!$N$2:$N$1000,0)),"")</f>
        <v/>
      </c>
      <c r="T83" s="11" t="str">
        <f aca="false">IFERROR(INDEX('Clinical Sources'!$M$2:$M$1000,MATCH($A83&amp;"|Case-fatality rate",'Clinical Sources'!$N$2:$N$1000,0)),"")</f>
        <v/>
      </c>
      <c r="U83" s="9" t="s">
        <v>517</v>
      </c>
      <c r="V83" s="22" t="s">
        <v>153</v>
      </c>
      <c r="W83" s="22"/>
      <c r="X83" s="22"/>
      <c r="Y83" s="22"/>
      <c r="Z83" s="22"/>
      <c r="AA83" s="22"/>
      <c r="AB83" s="22" t="s">
        <v>153</v>
      </c>
      <c r="AC83" s="22"/>
      <c r="AD83" s="13" t="s">
        <v>154</v>
      </c>
      <c r="AE83" s="9" t="s">
        <v>518</v>
      </c>
    </row>
    <row r="84" customFormat="false" ht="52.5" hidden="false" customHeight="true" outlineLevel="0" collapsed="false">
      <c r="A84" s="4" t="s">
        <v>109</v>
      </c>
      <c r="B84" s="5" t="s">
        <v>519</v>
      </c>
      <c r="C84" s="9" t="s">
        <v>520</v>
      </c>
      <c r="D84" s="5" t="s">
        <v>304</v>
      </c>
      <c r="E84" s="5" t="s">
        <v>521</v>
      </c>
      <c r="F84" s="11" t="str">
        <f aca="false">IF(COUNTIF(V84:AC84,"Y")=0,"",UPPER(MID(IF(V84="Y","/neurotoxic","")&amp;IF(W84="Y","/hemotoxic","")&amp;IF(X84="Y","/procoagulant","")&amp;IF(Y84="Y","/anticoagulant","")&amp;IF(Z84="Y","/hemorrhagic","")&amp;IF(AA84="Y","/cytotoxic","")&amp;IF(AB84="Y","/myotoxic","")&amp;IF(AC84="Y","/cardiotoxic",""),2,1))&amp;MID(IF(V84="Y","/neurotoxic","")&amp;IF(W84="Y","/hemotoxic","")&amp;IF(X84="Y","/procoagulant","")&amp;IF(Y84="Y","/anticoagulant","")&amp;IF(Z84="Y","/hemorrhagic","")&amp;IF(AA84="Y","/cytotoxic","")&amp;IF(AB84="Y","/myotoxic","")&amp;IF(AC84="Y","/cardiotoxic",""),3,200))</f>
        <v>Hemotoxic/procoagulant</v>
      </c>
      <c r="G84" s="19" t="n">
        <f aca="false">IFERROR(INDEX('LD50 Sources'!$C$2:$C$1000,MATCH($A84,'LD50 Sources'!$L$2:$L$1000,0)),"")</f>
        <v>0.21</v>
      </c>
      <c r="H84" s="11" t="str">
        <f aca="false">IFERROR(INDEX('LD50 Sources'!$D$2:$D$1000,MATCH($A84,'LD50 Sources'!$L$2:$L$1000,0))&amp;"","")</f>
        <v>SC</v>
      </c>
      <c r="I84" s="11" t="str">
        <f aca="false">IFERROR(INDEX('LD50 Sources'!$H$2:$H$1000,MATCH($A84,'LD50 Sources'!$L$2:$L$1000,0))&amp;"","")</f>
        <v>C</v>
      </c>
      <c r="J84" s="20" t="str">
        <f aca="false">IF(COUNTIFS('LD50 Sources'!$A$2:$A$1000,$A84,'LD50 Sources'!$K$2:$K$1000,1)&lt;2,"",ROUND(_xlfn.MAXIFS('LD50 Sources'!$C$2:$C$1000,'LD50 Sources'!$A$2:$A$1000,$A84,'LD50 Sources'!$K$2:$K$1000,1)/_xlfn.MINIFS('LD50 Sources'!$C$2:$C$1000,'LD50 Sources'!$A$2:$A$1000,$A84,'LD50 Sources'!$K$2:$K$1000,1),1))</f>
        <v/>
      </c>
      <c r="K84" s="21" t="str">
        <f aca="false">IFERROR(INDEX('Yield Sources'!$C$2:$C$1000,MATCH($A84,'Yield Sources'!$N$2:$N$1000,0)),"")</f>
        <v/>
      </c>
      <c r="L84" s="21" t="str">
        <f aca="false">IFERROR(INDEX('Yield Sources'!$D$2:$D$1000,MATCH($A84,'Yield Sources'!$N$2:$N$1000,0)),"")</f>
        <v/>
      </c>
      <c r="M84" s="11" t="str">
        <f aca="false">IFERROR(INDEX('Yield Sources'!$J$2:$J$1000,MATCH($A84,'Yield Sources'!$N$2:$N$1000,0))&amp;"","")</f>
        <v/>
      </c>
      <c r="N84" s="20" t="str">
        <f aca="false">IF(COUNTIFS('Yield Sources'!$A$2:$A$1000,$A84,'Yield Sources'!$M$2:$M$1000,1)&lt;2,"",ROUND(_xlfn.MAXIFS('Yield Sources'!$D$2:$D$1000,'Yield Sources'!$A$2:$A$1000,$A84,'Yield Sources'!$M$2:$M$1000,1)/_xlfn.MINIFS('Yield Sources'!$D$2:$D$1000,'Yield Sources'!$A$2:$A$1000,$A84,'Yield Sources'!$M$2:$M$1000,1),1))</f>
        <v/>
      </c>
      <c r="O84" s="8" t="n">
        <v>3</v>
      </c>
      <c r="P84" s="8" t="n">
        <v>1</v>
      </c>
      <c r="Q84" s="5" t="s">
        <v>159</v>
      </c>
      <c r="R84" s="5" t="s">
        <v>522</v>
      </c>
      <c r="S84" s="11" t="str">
        <f aca="false">IFERROR(INDEX('Clinical Sources'!$M$2:$M$1000,MATCH($A84&amp;"|Annual deaths",'Clinical Sources'!$N$2:$N$1000,0)),"")</f>
        <v/>
      </c>
      <c r="T84" s="11" t="str">
        <f aca="false">IFERROR(INDEX('Clinical Sources'!$M$2:$M$1000,MATCH($A84&amp;"|Case-fatality rate",'Clinical Sources'!$N$2:$N$1000,0)),"")</f>
        <v/>
      </c>
      <c r="U84" s="9" t="s">
        <v>523</v>
      </c>
      <c r="V84" s="22"/>
      <c r="W84" s="22" t="s">
        <v>153</v>
      </c>
      <c r="X84" s="22" t="s">
        <v>153</v>
      </c>
      <c r="Y84" s="22"/>
      <c r="Z84" s="22"/>
      <c r="AA84" s="22"/>
      <c r="AB84" s="22"/>
      <c r="AC84" s="22"/>
      <c r="AD84" s="13" t="s">
        <v>154</v>
      </c>
      <c r="AE84" s="9" t="s">
        <v>524</v>
      </c>
    </row>
    <row r="85" customFormat="false" ht="39" hidden="false" customHeight="true" outlineLevel="0" collapsed="false">
      <c r="A85" s="4" t="s">
        <v>40</v>
      </c>
      <c r="B85" s="5" t="s">
        <v>525</v>
      </c>
      <c r="C85" s="9" t="s">
        <v>259</v>
      </c>
      <c r="D85" s="5" t="s">
        <v>148</v>
      </c>
      <c r="E85" s="5" t="s">
        <v>526</v>
      </c>
      <c r="F85" s="11" t="str">
        <f aca="false">IF(COUNTIF(V85:AC85,"Y")=0,"",UPPER(MID(IF(V85="Y","/neurotoxic","")&amp;IF(W85="Y","/hemotoxic","")&amp;IF(X85="Y","/procoagulant","")&amp;IF(Y85="Y","/anticoagulant","")&amp;IF(Z85="Y","/hemorrhagic","")&amp;IF(AA85="Y","/cytotoxic","")&amp;IF(AB85="Y","/myotoxic","")&amp;IF(AC85="Y","/cardiotoxic",""),2,1))&amp;MID(IF(V85="Y","/neurotoxic","")&amp;IF(W85="Y","/hemotoxic","")&amp;IF(X85="Y","/procoagulant","")&amp;IF(Y85="Y","/anticoagulant","")&amp;IF(Z85="Y","/hemorrhagic","")&amp;IF(AA85="Y","/cytotoxic","")&amp;IF(AB85="Y","/myotoxic","")&amp;IF(AC85="Y","/cardiotoxic",""),3,200))</f>
        <v>Hemotoxic</v>
      </c>
      <c r="G85" s="19" t="n">
        <f aca="false">IFERROR(INDEX('LD50 Sources'!$C$2:$C$1000,MATCH($A85,'LD50 Sources'!$L$2:$L$1000,0)),"")</f>
        <v>0.35</v>
      </c>
      <c r="H85" s="11" t="str">
        <f aca="false">IFERROR(INDEX('LD50 Sources'!$D$2:$D$1000,MATCH($A85,'LD50 Sources'!$L$2:$L$1000,0))&amp;"","")</f>
        <v>SC</v>
      </c>
      <c r="I85" s="11" t="str">
        <f aca="false">IFERROR(INDEX('LD50 Sources'!$H$2:$H$1000,MATCH($A85,'LD50 Sources'!$L$2:$L$1000,0))&amp;"","")</f>
        <v>C</v>
      </c>
      <c r="J85" s="20" t="str">
        <f aca="false">IF(COUNTIFS('LD50 Sources'!$A$2:$A$1000,$A85,'LD50 Sources'!$K$2:$K$1000,1)&lt;2,"",ROUND(_xlfn.MAXIFS('LD50 Sources'!$C$2:$C$1000,'LD50 Sources'!$A$2:$A$1000,$A85,'LD50 Sources'!$K$2:$K$1000,1)/_xlfn.MINIFS('LD50 Sources'!$C$2:$C$1000,'LD50 Sources'!$A$2:$A$1000,$A85,'LD50 Sources'!$K$2:$K$1000,1),1))</f>
        <v/>
      </c>
      <c r="K85" s="21" t="n">
        <f aca="false">IFERROR(INDEX('Yield Sources'!$C$2:$C$1000,MATCH($A85,'Yield Sources'!$N$2:$N$1000,0)),"")</f>
        <v>100</v>
      </c>
      <c r="L85" s="21" t="n">
        <f aca="false">IFERROR(INDEX('Yield Sources'!$D$2:$D$1000,MATCH($A85,'Yield Sources'!$N$2:$N$1000,0)),"")</f>
        <v>200</v>
      </c>
      <c r="M85" s="11" t="str">
        <f aca="false">IFERROR(INDEX('Yield Sources'!$J$2:$J$1000,MATCH($A85,'Yield Sources'!$N$2:$N$1000,0))&amp;"","")</f>
        <v>C</v>
      </c>
      <c r="N85" s="20" t="str">
        <f aca="false">IF(COUNTIFS('Yield Sources'!$A$2:$A$1000,$A85,'Yield Sources'!$M$2:$M$1000,1)&lt;2,"",ROUND(_xlfn.MAXIFS('Yield Sources'!$D$2:$D$1000,'Yield Sources'!$A$2:$A$1000,$A85,'Yield Sources'!$M$2:$M$1000,1)/_xlfn.MINIFS('Yield Sources'!$D$2:$D$1000,'Yield Sources'!$A$2:$A$1000,$A85,'Yield Sources'!$M$2:$M$1000,1),1))</f>
        <v/>
      </c>
      <c r="O85" s="8" t="n">
        <v>8</v>
      </c>
      <c r="P85" s="8" t="n">
        <v>4</v>
      </c>
      <c r="Q85" s="5" t="s">
        <v>150</v>
      </c>
      <c r="R85" s="5" t="s">
        <v>160</v>
      </c>
      <c r="S85" s="11" t="str">
        <f aca="false">IFERROR(INDEX('Clinical Sources'!$M$2:$M$1000,MATCH($A85&amp;"|Annual deaths",'Clinical Sources'!$N$2:$N$1000,0)),"")</f>
        <v/>
      </c>
      <c r="T85" s="11" t="str">
        <f aca="false">IFERROR(INDEX('Clinical Sources'!$M$2:$M$1000,MATCH($A85&amp;"|Case-fatality rate",'Clinical Sources'!$N$2:$N$1000,0)),"")</f>
        <v/>
      </c>
      <c r="U85" s="9" t="s">
        <v>527</v>
      </c>
      <c r="V85" s="22"/>
      <c r="W85" s="22" t="s">
        <v>153</v>
      </c>
      <c r="X85" s="22"/>
      <c r="Y85" s="22"/>
      <c r="Z85" s="22"/>
      <c r="AA85" s="22"/>
      <c r="AB85" s="22"/>
      <c r="AC85" s="22"/>
      <c r="AD85" s="13" t="s">
        <v>154</v>
      </c>
      <c r="AE85" s="9" t="s">
        <v>528</v>
      </c>
    </row>
    <row r="86" customFormat="false" ht="26.25" hidden="false" customHeight="true" outlineLevel="0" collapsed="false">
      <c r="A86" s="4" t="s">
        <v>95</v>
      </c>
      <c r="B86" s="5" t="s">
        <v>529</v>
      </c>
      <c r="C86" s="9" t="s">
        <v>530</v>
      </c>
      <c r="D86" s="5" t="s">
        <v>148</v>
      </c>
      <c r="E86" s="5" t="s">
        <v>531</v>
      </c>
      <c r="F86" s="11" t="str">
        <f aca="false">IF(COUNTIF(V86:AC86,"Y")=0,"",UPPER(MID(IF(V86="Y","/neurotoxic","")&amp;IF(W86="Y","/hemotoxic","")&amp;IF(X86="Y","/procoagulant","")&amp;IF(Y86="Y","/anticoagulant","")&amp;IF(Z86="Y","/hemorrhagic","")&amp;IF(AA86="Y","/cytotoxic","")&amp;IF(AB86="Y","/myotoxic","")&amp;IF(AC86="Y","/cardiotoxic",""),2,1))&amp;MID(IF(V86="Y","/neurotoxic","")&amp;IF(W86="Y","/hemotoxic","")&amp;IF(X86="Y","/procoagulant","")&amp;IF(Y86="Y","/anticoagulant","")&amp;IF(Z86="Y","/hemorrhagic","")&amp;IF(AA86="Y","/cytotoxic","")&amp;IF(AB86="Y","/myotoxic","")&amp;IF(AC86="Y","/cardiotoxic",""),3,200))</f>
        <v>Hemotoxic</v>
      </c>
      <c r="G86" s="19" t="n">
        <f aca="false">IFERROR(INDEX('LD50 Sources'!$C$2:$C$1000,MATCH($A86,'LD50 Sources'!$L$2:$L$1000,0)),"")</f>
        <v>0.38</v>
      </c>
      <c r="H86" s="11" t="str">
        <f aca="false">IFERROR(INDEX('LD50 Sources'!$D$2:$D$1000,MATCH($A86,'LD50 Sources'!$L$2:$L$1000,0))&amp;"","")</f>
        <v>SC</v>
      </c>
      <c r="I86" s="11" t="str">
        <f aca="false">IFERROR(INDEX('LD50 Sources'!$H$2:$H$1000,MATCH($A86,'LD50 Sources'!$L$2:$L$1000,0))&amp;"","")</f>
        <v>C</v>
      </c>
      <c r="J86" s="20" t="str">
        <f aca="false">IF(COUNTIFS('LD50 Sources'!$A$2:$A$1000,$A86,'LD50 Sources'!$K$2:$K$1000,1)&lt;2,"",ROUND(_xlfn.MAXIFS('LD50 Sources'!$C$2:$C$1000,'LD50 Sources'!$A$2:$A$1000,$A86,'LD50 Sources'!$K$2:$K$1000,1)/_xlfn.MINIFS('LD50 Sources'!$C$2:$C$1000,'LD50 Sources'!$A$2:$A$1000,$A86,'LD50 Sources'!$K$2:$K$1000,1),1))</f>
        <v/>
      </c>
      <c r="K86" s="21" t="str">
        <f aca="false">IFERROR(INDEX('Yield Sources'!$C$2:$C$1000,MATCH($A86,'Yield Sources'!$N$2:$N$1000,0)),"")</f>
        <v/>
      </c>
      <c r="L86" s="21" t="str">
        <f aca="false">IFERROR(INDEX('Yield Sources'!$D$2:$D$1000,MATCH($A86,'Yield Sources'!$N$2:$N$1000,0)),"")</f>
        <v/>
      </c>
      <c r="M86" s="11" t="str">
        <f aca="false">IFERROR(INDEX('Yield Sources'!$J$2:$J$1000,MATCH($A86,'Yield Sources'!$N$2:$N$1000,0))&amp;"","")</f>
        <v/>
      </c>
      <c r="N86" s="20" t="str">
        <f aca="false">IF(COUNTIFS('Yield Sources'!$A$2:$A$1000,$A86,'Yield Sources'!$M$2:$M$1000,1)&lt;2,"",ROUND(_xlfn.MAXIFS('Yield Sources'!$D$2:$D$1000,'Yield Sources'!$A$2:$A$1000,$A86,'Yield Sources'!$M$2:$M$1000,1)/_xlfn.MINIFS('Yield Sources'!$D$2:$D$1000,'Yield Sources'!$A$2:$A$1000,$A86,'Yield Sources'!$M$2:$M$1000,1),1))</f>
        <v/>
      </c>
      <c r="O86" s="8" t="n">
        <v>7</v>
      </c>
      <c r="P86" s="8" t="n">
        <v>3</v>
      </c>
      <c r="Q86" s="5" t="s">
        <v>150</v>
      </c>
      <c r="R86" s="5" t="s">
        <v>160</v>
      </c>
      <c r="S86" s="11" t="str">
        <f aca="false">IFERROR(INDEX('Clinical Sources'!$M$2:$M$1000,MATCH($A86&amp;"|Annual deaths",'Clinical Sources'!$N$2:$N$1000,0)),"")</f>
        <v/>
      </c>
      <c r="T86" s="11" t="str">
        <f aca="false">IFERROR(INDEX('Clinical Sources'!$M$2:$M$1000,MATCH($A86&amp;"|Case-fatality rate",'Clinical Sources'!$N$2:$N$1000,0)),"")</f>
        <v/>
      </c>
      <c r="U86" s="9" t="s">
        <v>532</v>
      </c>
      <c r="V86" s="22"/>
      <c r="W86" s="22" t="s">
        <v>153</v>
      </c>
      <c r="X86" s="22"/>
      <c r="Y86" s="22"/>
      <c r="Z86" s="22"/>
      <c r="AA86" s="22"/>
      <c r="AB86" s="22"/>
      <c r="AC86" s="22"/>
      <c r="AD86" s="13" t="s">
        <v>154</v>
      </c>
      <c r="AE86" s="9" t="s">
        <v>533</v>
      </c>
    </row>
    <row r="87" customFormat="false" ht="26.25" hidden="false" customHeight="true" outlineLevel="0" collapsed="false">
      <c r="A87" s="4" t="s">
        <v>81</v>
      </c>
      <c r="B87" s="5" t="s">
        <v>534</v>
      </c>
      <c r="C87" s="9" t="s">
        <v>535</v>
      </c>
      <c r="D87" s="5" t="s">
        <v>165</v>
      </c>
      <c r="E87" s="5" t="s">
        <v>332</v>
      </c>
      <c r="F87" s="11" t="str">
        <f aca="false">IF(COUNTIF(V87:AC87,"Y")=0,"",UPPER(MID(IF(V87="Y","/neurotoxic","")&amp;IF(W87="Y","/hemotoxic","")&amp;IF(X87="Y","/procoagulant","")&amp;IF(Y87="Y","/anticoagulant","")&amp;IF(Z87="Y","/hemorrhagic","")&amp;IF(AA87="Y","/cytotoxic","")&amp;IF(AB87="Y","/myotoxic","")&amp;IF(AC87="Y","/cardiotoxic",""),2,1))&amp;MID(IF(V87="Y","/neurotoxic","")&amp;IF(W87="Y","/hemotoxic","")&amp;IF(X87="Y","/procoagulant","")&amp;IF(Y87="Y","/anticoagulant","")&amp;IF(Z87="Y","/hemorrhagic","")&amp;IF(AA87="Y","/cytotoxic","")&amp;IF(AB87="Y","/myotoxic","")&amp;IF(AC87="Y","/cardiotoxic",""),3,200))</f>
        <v>Neurotoxic</v>
      </c>
      <c r="G87" s="19" t="n">
        <f aca="false">IFERROR(INDEX('LD50 Sources'!$C$2:$C$1000,MATCH($A87,'LD50 Sources'!$L$2:$L$1000,0)),"")</f>
        <v>0.4</v>
      </c>
      <c r="H87" s="11" t="str">
        <f aca="false">IFERROR(INDEX('LD50 Sources'!$D$2:$D$1000,MATCH($A87,'LD50 Sources'!$L$2:$L$1000,0))&amp;"","")</f>
        <v>SC</v>
      </c>
      <c r="I87" s="11" t="str">
        <f aca="false">IFERROR(INDEX('LD50 Sources'!$H$2:$H$1000,MATCH($A87,'LD50 Sources'!$L$2:$L$1000,0))&amp;"","")</f>
        <v>C</v>
      </c>
      <c r="J87" s="20" t="str">
        <f aca="false">IF(COUNTIFS('LD50 Sources'!$A$2:$A$1000,$A87,'LD50 Sources'!$K$2:$K$1000,1)&lt;2,"",ROUND(_xlfn.MAXIFS('LD50 Sources'!$C$2:$C$1000,'LD50 Sources'!$A$2:$A$1000,$A87,'LD50 Sources'!$K$2:$K$1000,1)/_xlfn.MINIFS('LD50 Sources'!$C$2:$C$1000,'LD50 Sources'!$A$2:$A$1000,$A87,'LD50 Sources'!$K$2:$K$1000,1),1))</f>
        <v/>
      </c>
      <c r="K87" s="21" t="n">
        <f aca="false">IFERROR(INDEX('Yield Sources'!$C$2:$C$1000,MATCH($A87,'Yield Sources'!$N$2:$N$1000,0)),"")</f>
        <v>5</v>
      </c>
      <c r="L87" s="21" t="n">
        <f aca="false">IFERROR(INDEX('Yield Sources'!$D$2:$D$1000,MATCH($A87,'Yield Sources'!$N$2:$N$1000,0)),"")</f>
        <v>8</v>
      </c>
      <c r="M87" s="11" t="str">
        <f aca="false">IFERROR(INDEX('Yield Sources'!$J$2:$J$1000,MATCH($A87,'Yield Sources'!$N$2:$N$1000,0))&amp;"","")</f>
        <v>C</v>
      </c>
      <c r="N87" s="20" t="str">
        <f aca="false">IF(COUNTIFS('Yield Sources'!$A$2:$A$1000,$A87,'Yield Sources'!$M$2:$M$1000,1)&lt;2,"",ROUND(_xlfn.MAXIFS('Yield Sources'!$D$2:$D$1000,'Yield Sources'!$A$2:$A$1000,$A87,'Yield Sources'!$M$2:$M$1000,1)/_xlfn.MINIFS('Yield Sources'!$D$2:$D$1000,'Yield Sources'!$A$2:$A$1000,$A87,'Yield Sources'!$M$2:$M$1000,1),1))</f>
        <v/>
      </c>
      <c r="O87" s="8" t="n">
        <v>3</v>
      </c>
      <c r="P87" s="8" t="n">
        <v>2</v>
      </c>
      <c r="Q87" s="5" t="s">
        <v>150</v>
      </c>
      <c r="R87" s="5" t="s">
        <v>160</v>
      </c>
      <c r="S87" s="11" t="str">
        <f aca="false">IFERROR(INDEX('Clinical Sources'!$M$2:$M$1000,MATCH($A87&amp;"|Annual deaths",'Clinical Sources'!$N$2:$N$1000,0)),"")</f>
        <v/>
      </c>
      <c r="T87" s="11" t="str">
        <f aca="false">IFERROR(INDEX('Clinical Sources'!$M$2:$M$1000,MATCH($A87&amp;"|Case-fatality rate",'Clinical Sources'!$N$2:$N$1000,0)),"")</f>
        <v/>
      </c>
      <c r="U87" s="9" t="s">
        <v>536</v>
      </c>
      <c r="V87" s="22" t="s">
        <v>153</v>
      </c>
      <c r="W87" s="22"/>
      <c r="X87" s="22"/>
      <c r="Y87" s="22"/>
      <c r="Z87" s="22"/>
      <c r="AA87" s="22"/>
      <c r="AB87" s="22"/>
      <c r="AC87" s="22"/>
      <c r="AD87" s="13" t="s">
        <v>154</v>
      </c>
      <c r="AE87" s="9" t="s">
        <v>537</v>
      </c>
    </row>
    <row r="88" customFormat="false" ht="26.25" hidden="false" customHeight="true" outlineLevel="0" collapsed="false">
      <c r="A88" s="4" t="s">
        <v>100</v>
      </c>
      <c r="B88" s="5" t="s">
        <v>538</v>
      </c>
      <c r="C88" s="9" t="s">
        <v>539</v>
      </c>
      <c r="D88" s="5" t="s">
        <v>165</v>
      </c>
      <c r="E88" s="5" t="s">
        <v>355</v>
      </c>
      <c r="F88" s="11" t="str">
        <f aca="false">IF(COUNTIF(V88:AC88,"Y")=0,"",UPPER(MID(IF(V88="Y","/neurotoxic","")&amp;IF(W88="Y","/hemotoxic","")&amp;IF(X88="Y","/procoagulant","")&amp;IF(Y88="Y","/anticoagulant","")&amp;IF(Z88="Y","/hemorrhagic","")&amp;IF(AA88="Y","/cytotoxic","")&amp;IF(AB88="Y","/myotoxic","")&amp;IF(AC88="Y","/cardiotoxic",""),2,1))&amp;MID(IF(V88="Y","/neurotoxic","")&amp;IF(W88="Y","/hemotoxic","")&amp;IF(X88="Y","/procoagulant","")&amp;IF(Y88="Y","/anticoagulant","")&amp;IF(Z88="Y","/hemorrhagic","")&amp;IF(AA88="Y","/cytotoxic","")&amp;IF(AB88="Y","/myotoxic","")&amp;IF(AC88="Y","/cardiotoxic",""),3,200))</f>
        <v>Neurotoxic</v>
      </c>
      <c r="G88" s="19" t="n">
        <f aca="false">IFERROR(INDEX('LD50 Sources'!$C$2:$C$1000,MATCH($A88,'LD50 Sources'!$L$2:$L$1000,0)),"")</f>
        <v>0.4</v>
      </c>
      <c r="H88" s="11" t="str">
        <f aca="false">IFERROR(INDEX('LD50 Sources'!$D$2:$D$1000,MATCH($A88,'LD50 Sources'!$L$2:$L$1000,0))&amp;"","")</f>
        <v>SC</v>
      </c>
      <c r="I88" s="11" t="str">
        <f aca="false">IFERROR(INDEX('LD50 Sources'!$H$2:$H$1000,MATCH($A88,'LD50 Sources'!$L$2:$L$1000,0))&amp;"","")</f>
        <v>D</v>
      </c>
      <c r="J88" s="20" t="n">
        <f aca="false">IF(COUNTIFS('LD50 Sources'!$A$2:$A$1000,$A88,'LD50 Sources'!$K$2:$K$1000,1)&lt;2,"",ROUND(_xlfn.MAXIFS('LD50 Sources'!$C$2:$C$1000,'LD50 Sources'!$A$2:$A$1000,$A88,'LD50 Sources'!$K$2:$K$1000,1)/_xlfn.MINIFS('LD50 Sources'!$C$2:$C$1000,'LD50 Sources'!$A$2:$A$1000,$A88,'LD50 Sources'!$K$2:$K$1000,1),1))</f>
        <v>2.5</v>
      </c>
      <c r="K88" s="21" t="str">
        <f aca="false">IFERROR(INDEX('Yield Sources'!$C$2:$C$1000,MATCH($A88,'Yield Sources'!$N$2:$N$1000,0)),"")</f>
        <v/>
      </c>
      <c r="L88" s="21" t="str">
        <f aca="false">IFERROR(INDEX('Yield Sources'!$D$2:$D$1000,MATCH($A88,'Yield Sources'!$N$2:$N$1000,0)),"")</f>
        <v/>
      </c>
      <c r="M88" s="11" t="str">
        <f aca="false">IFERROR(INDEX('Yield Sources'!$J$2:$J$1000,MATCH($A88,'Yield Sources'!$N$2:$N$1000,0))&amp;"","")</f>
        <v/>
      </c>
      <c r="N88" s="20" t="str">
        <f aca="false">IF(COUNTIFS('Yield Sources'!$A$2:$A$1000,$A88,'Yield Sources'!$M$2:$M$1000,1)&lt;2,"",ROUND(_xlfn.MAXIFS('Yield Sources'!$D$2:$D$1000,'Yield Sources'!$A$2:$A$1000,$A88,'Yield Sources'!$M$2:$M$1000,1)/_xlfn.MINIFS('Yield Sources'!$D$2:$D$1000,'Yield Sources'!$A$2:$A$1000,$A88,'Yield Sources'!$M$2:$M$1000,1),1))</f>
        <v/>
      </c>
      <c r="O88" s="8" t="n">
        <v>3</v>
      </c>
      <c r="P88" s="8" t="n">
        <v>2</v>
      </c>
      <c r="Q88" s="5" t="s">
        <v>173</v>
      </c>
      <c r="R88" s="5" t="s">
        <v>174</v>
      </c>
      <c r="S88" s="11" t="str">
        <f aca="false">IFERROR(INDEX('Clinical Sources'!$M$2:$M$1000,MATCH($A88&amp;"|Annual deaths",'Clinical Sources'!$N$2:$N$1000,0)),"")</f>
        <v/>
      </c>
      <c r="T88" s="11" t="str">
        <f aca="false">IFERROR(INDEX('Clinical Sources'!$M$2:$M$1000,MATCH($A88&amp;"|Case-fatality rate",'Clinical Sources'!$N$2:$N$1000,0)),"")</f>
        <v/>
      </c>
      <c r="U88" s="9" t="s">
        <v>540</v>
      </c>
      <c r="V88" s="22" t="s">
        <v>153</v>
      </c>
      <c r="W88" s="22"/>
      <c r="X88" s="22"/>
      <c r="Y88" s="22"/>
      <c r="Z88" s="22"/>
      <c r="AA88" s="22"/>
      <c r="AB88" s="22"/>
      <c r="AC88" s="22"/>
      <c r="AD88" s="13" t="s">
        <v>154</v>
      </c>
      <c r="AE88" s="9" t="s">
        <v>541</v>
      </c>
    </row>
    <row r="89" customFormat="false" ht="14.25" hidden="false" customHeight="true" outlineLevel="0" collapsed="false">
      <c r="A89" s="4" t="s">
        <v>111</v>
      </c>
      <c r="B89" s="5" t="s">
        <v>542</v>
      </c>
      <c r="C89" s="9" t="s">
        <v>543</v>
      </c>
      <c r="D89" s="5" t="s">
        <v>148</v>
      </c>
      <c r="E89" s="5" t="s">
        <v>544</v>
      </c>
      <c r="F89" s="11" t="str">
        <f aca="false">IF(COUNTIF(V89:AC89,"Y")=0,"",UPPER(MID(IF(V89="Y","/neurotoxic","")&amp;IF(W89="Y","/hemotoxic","")&amp;IF(X89="Y","/procoagulant","")&amp;IF(Y89="Y","/anticoagulant","")&amp;IF(Z89="Y","/hemorrhagic","")&amp;IF(AA89="Y","/cytotoxic","")&amp;IF(AB89="Y","/myotoxic","")&amp;IF(AC89="Y","/cardiotoxic",""),2,1))&amp;MID(IF(V89="Y","/neurotoxic","")&amp;IF(W89="Y","/hemotoxic","")&amp;IF(X89="Y","/procoagulant","")&amp;IF(Y89="Y","/anticoagulant","")&amp;IF(Z89="Y","/hemorrhagic","")&amp;IF(AA89="Y","/cytotoxic","")&amp;IF(AB89="Y","/myotoxic","")&amp;IF(AC89="Y","/cardiotoxic",""),3,200))</f>
        <v>Hemotoxic</v>
      </c>
      <c r="G89" s="19" t="n">
        <f aca="false">IFERROR(INDEX('LD50 Sources'!$C$2:$C$1000,MATCH($A89,'LD50 Sources'!$L$2:$L$1000,0)),"")</f>
        <v>0.48</v>
      </c>
      <c r="H89" s="11" t="str">
        <f aca="false">IFERROR(INDEX('LD50 Sources'!$D$2:$D$1000,MATCH($A89,'LD50 Sources'!$L$2:$L$1000,0))&amp;"","")</f>
        <v>SC</v>
      </c>
      <c r="I89" s="11" t="str">
        <f aca="false">IFERROR(INDEX('LD50 Sources'!$H$2:$H$1000,MATCH($A89,'LD50 Sources'!$L$2:$L$1000,0))&amp;"","")</f>
        <v>C</v>
      </c>
      <c r="J89" s="20" t="str">
        <f aca="false">IF(COUNTIFS('LD50 Sources'!$A$2:$A$1000,$A89,'LD50 Sources'!$K$2:$K$1000,1)&lt;2,"",ROUND(_xlfn.MAXIFS('LD50 Sources'!$C$2:$C$1000,'LD50 Sources'!$A$2:$A$1000,$A89,'LD50 Sources'!$K$2:$K$1000,1)/_xlfn.MINIFS('LD50 Sources'!$C$2:$C$1000,'LD50 Sources'!$A$2:$A$1000,$A89,'LD50 Sources'!$K$2:$K$1000,1),1))</f>
        <v/>
      </c>
      <c r="K89" s="21" t="n">
        <f aca="false">IFERROR(INDEX('Yield Sources'!$C$2:$C$1000,MATCH($A89,'Yield Sources'!$N$2:$N$1000,0)),"")</f>
        <v>10</v>
      </c>
      <c r="L89" s="21" t="n">
        <f aca="false">IFERROR(INDEX('Yield Sources'!$D$2:$D$1000,MATCH($A89,'Yield Sources'!$N$2:$N$1000,0)),"")</f>
        <v>45</v>
      </c>
      <c r="M89" s="11" t="str">
        <f aca="false">IFERROR(INDEX('Yield Sources'!$J$2:$J$1000,MATCH($A89,'Yield Sources'!$N$2:$N$1000,0))&amp;"","")</f>
        <v>C</v>
      </c>
      <c r="N89" s="20" t="str">
        <f aca="false">IF(COUNTIFS('Yield Sources'!$A$2:$A$1000,$A89,'Yield Sources'!$M$2:$M$1000,1)&lt;2,"",ROUND(_xlfn.MAXIFS('Yield Sources'!$D$2:$D$1000,'Yield Sources'!$A$2:$A$1000,$A89,'Yield Sources'!$M$2:$M$1000,1)/_xlfn.MINIFS('Yield Sources'!$D$2:$D$1000,'Yield Sources'!$A$2:$A$1000,$A89,'Yield Sources'!$M$2:$M$1000,1),1))</f>
        <v/>
      </c>
      <c r="O89" s="8" t="n">
        <v>6</v>
      </c>
      <c r="P89" s="8" t="n">
        <v>3</v>
      </c>
      <c r="Q89" s="5" t="s">
        <v>159</v>
      </c>
      <c r="R89" s="5" t="s">
        <v>151</v>
      </c>
      <c r="S89" s="11" t="str">
        <f aca="false">IFERROR(INDEX('Clinical Sources'!$M$2:$M$1000,MATCH($A89&amp;"|Annual deaths",'Clinical Sources'!$N$2:$N$1000,0)),"")</f>
        <v/>
      </c>
      <c r="T89" s="11" t="str">
        <f aca="false">IFERROR(INDEX('Clinical Sources'!$M$2:$M$1000,MATCH($A89&amp;"|Case-fatality rate",'Clinical Sources'!$N$2:$N$1000,0)),"")</f>
        <v/>
      </c>
      <c r="U89" s="9" t="s">
        <v>545</v>
      </c>
      <c r="V89" s="22"/>
      <c r="W89" s="22" t="s">
        <v>153</v>
      </c>
      <c r="X89" s="22"/>
      <c r="Y89" s="22"/>
      <c r="Z89" s="22"/>
      <c r="AA89" s="22"/>
      <c r="AB89" s="22"/>
      <c r="AC89" s="22"/>
      <c r="AD89" s="13" t="s">
        <v>154</v>
      </c>
      <c r="AE89" s="9" t="s">
        <v>546</v>
      </c>
    </row>
    <row r="90" customFormat="false" ht="26.25" hidden="false" customHeight="true" outlineLevel="0" collapsed="false">
      <c r="A90" s="4" t="s">
        <v>101</v>
      </c>
      <c r="B90" s="5" t="s">
        <v>547</v>
      </c>
      <c r="C90" s="9" t="s">
        <v>548</v>
      </c>
      <c r="D90" s="5" t="s">
        <v>165</v>
      </c>
      <c r="E90" s="5" t="s">
        <v>549</v>
      </c>
      <c r="F90" s="11" t="str">
        <f aca="false">IF(COUNTIF(V90:AC90,"Y")=0,"",UPPER(MID(IF(V90="Y","/neurotoxic","")&amp;IF(W90="Y","/hemotoxic","")&amp;IF(X90="Y","/procoagulant","")&amp;IF(Y90="Y","/anticoagulant","")&amp;IF(Z90="Y","/hemorrhagic","")&amp;IF(AA90="Y","/cytotoxic","")&amp;IF(AB90="Y","/myotoxic","")&amp;IF(AC90="Y","/cardiotoxic",""),2,1))&amp;MID(IF(V90="Y","/neurotoxic","")&amp;IF(W90="Y","/hemotoxic","")&amp;IF(X90="Y","/procoagulant","")&amp;IF(Y90="Y","/anticoagulant","")&amp;IF(Z90="Y","/hemorrhagic","")&amp;IF(AA90="Y","/cytotoxic","")&amp;IF(AB90="Y","/myotoxic","")&amp;IF(AC90="Y","/cardiotoxic",""),3,200))</f>
        <v>Neurotoxic</v>
      </c>
      <c r="G90" s="19" t="n">
        <f aca="false">IFERROR(INDEX('LD50 Sources'!$C$2:$C$1000,MATCH($A90,'LD50 Sources'!$L$2:$L$1000,0)),"")</f>
        <v>0.12</v>
      </c>
      <c r="H90" s="11" t="str">
        <f aca="false">IFERROR(INDEX('LD50 Sources'!$D$2:$D$1000,MATCH($A90,'LD50 Sources'!$L$2:$L$1000,0))&amp;"","")</f>
        <v>IP</v>
      </c>
      <c r="I90" s="11" t="str">
        <f aca="false">IFERROR(INDEX('LD50 Sources'!$H$2:$H$1000,MATCH($A90,'LD50 Sources'!$L$2:$L$1000,0))&amp;"","")</f>
        <v>C</v>
      </c>
      <c r="J90" s="20" t="str">
        <f aca="false">IF(COUNTIFS('LD50 Sources'!$A$2:$A$1000,$A90,'LD50 Sources'!$K$2:$K$1000,1)&lt;2,"",ROUND(_xlfn.MAXIFS('LD50 Sources'!$C$2:$C$1000,'LD50 Sources'!$A$2:$A$1000,$A90,'LD50 Sources'!$K$2:$K$1000,1)/_xlfn.MINIFS('LD50 Sources'!$C$2:$C$1000,'LD50 Sources'!$A$2:$A$1000,$A90,'LD50 Sources'!$K$2:$K$1000,1),1))</f>
        <v/>
      </c>
      <c r="K90" s="21" t="str">
        <f aca="false">IFERROR(INDEX('Yield Sources'!$C$2:$C$1000,MATCH($A90,'Yield Sources'!$N$2:$N$1000,0)),"")</f>
        <v/>
      </c>
      <c r="L90" s="21" t="str">
        <f aca="false">IFERROR(INDEX('Yield Sources'!$D$2:$D$1000,MATCH($A90,'Yield Sources'!$N$2:$N$1000,0)),"")</f>
        <v/>
      </c>
      <c r="M90" s="11" t="str">
        <f aca="false">IFERROR(INDEX('Yield Sources'!$J$2:$J$1000,MATCH($A90,'Yield Sources'!$N$2:$N$1000,0))&amp;"","")</f>
        <v/>
      </c>
      <c r="N90" s="20" t="str">
        <f aca="false">IF(COUNTIFS('Yield Sources'!$A$2:$A$1000,$A90,'Yield Sources'!$M$2:$M$1000,1)&lt;2,"",ROUND(_xlfn.MAXIFS('Yield Sources'!$D$2:$D$1000,'Yield Sources'!$A$2:$A$1000,$A90,'Yield Sources'!$M$2:$M$1000,1)/_xlfn.MINIFS('Yield Sources'!$D$2:$D$1000,'Yield Sources'!$A$2:$A$1000,$A90,'Yield Sources'!$M$2:$M$1000,1),1))</f>
        <v/>
      </c>
      <c r="O90" s="8" t="n">
        <v>2</v>
      </c>
      <c r="P90" s="8"/>
      <c r="Q90" s="5" t="s">
        <v>167</v>
      </c>
      <c r="R90" s="5" t="s">
        <v>174</v>
      </c>
      <c r="S90" s="11" t="str">
        <f aca="false">IFERROR(INDEX('Clinical Sources'!$M$2:$M$1000,MATCH($A90&amp;"|Annual deaths",'Clinical Sources'!$N$2:$N$1000,0)),"")</f>
        <v/>
      </c>
      <c r="T90" s="11" t="str">
        <f aca="false">IFERROR(INDEX('Clinical Sources'!$M$2:$M$1000,MATCH($A90&amp;"|Case-fatality rate",'Clinical Sources'!$N$2:$N$1000,0)),"")</f>
        <v/>
      </c>
      <c r="U90" s="9" t="s">
        <v>550</v>
      </c>
      <c r="V90" s="22" t="s">
        <v>153</v>
      </c>
      <c r="W90" s="22"/>
      <c r="X90" s="22"/>
      <c r="Y90" s="22"/>
      <c r="Z90" s="22"/>
      <c r="AA90" s="22"/>
      <c r="AB90" s="22"/>
      <c r="AC90" s="22"/>
      <c r="AD90" s="13" t="s">
        <v>154</v>
      </c>
      <c r="AE90" s="9" t="s">
        <v>551</v>
      </c>
    </row>
    <row r="91" customFormat="false" ht="14.25" hidden="false" customHeight="true" outlineLevel="0" collapsed="false">
      <c r="A91" s="4" t="s">
        <v>93</v>
      </c>
      <c r="B91" s="5" t="s">
        <v>552</v>
      </c>
      <c r="C91" s="9"/>
      <c r="D91" s="5" t="s">
        <v>148</v>
      </c>
      <c r="E91" s="5" t="s">
        <v>553</v>
      </c>
      <c r="F91" s="11" t="str">
        <f aca="false">IF(COUNTIF(V91:AC91,"Y")=0,"",UPPER(MID(IF(V91="Y","/neurotoxic","")&amp;IF(W91="Y","/hemotoxic","")&amp;IF(X91="Y","/procoagulant","")&amp;IF(Y91="Y","/anticoagulant","")&amp;IF(Z91="Y","/hemorrhagic","")&amp;IF(AA91="Y","/cytotoxic","")&amp;IF(AB91="Y","/myotoxic","")&amp;IF(AC91="Y","/cardiotoxic",""),2,1))&amp;MID(IF(V91="Y","/neurotoxic","")&amp;IF(W91="Y","/hemotoxic","")&amp;IF(X91="Y","/procoagulant","")&amp;IF(Y91="Y","/anticoagulant","")&amp;IF(Z91="Y","/hemorrhagic","")&amp;IF(AA91="Y","/cytotoxic","")&amp;IF(AB91="Y","/myotoxic","")&amp;IF(AC91="Y","/cardiotoxic",""),3,200))</f>
        <v>Hemotoxic</v>
      </c>
      <c r="G91" s="19" t="n">
        <f aca="false">IFERROR(INDEX('LD50 Sources'!$C$2:$C$1000,MATCH($A91,'LD50 Sources'!$L$2:$L$1000,0)),"")</f>
        <v>0.21</v>
      </c>
      <c r="H91" s="11" t="str">
        <f aca="false">IFERROR(INDEX('LD50 Sources'!$D$2:$D$1000,MATCH($A91,'LD50 Sources'!$L$2:$L$1000,0))&amp;"","")</f>
        <v>unknown</v>
      </c>
      <c r="I91" s="11" t="str">
        <f aca="false">IFERROR(INDEX('LD50 Sources'!$H$2:$H$1000,MATCH($A91,'LD50 Sources'!$L$2:$L$1000,0))&amp;"","")</f>
        <v>D</v>
      </c>
      <c r="J91" s="20" t="str">
        <f aca="false">IF(COUNTIFS('LD50 Sources'!$A$2:$A$1000,$A91,'LD50 Sources'!$K$2:$K$1000,1)&lt;2,"",ROUND(_xlfn.MAXIFS('LD50 Sources'!$C$2:$C$1000,'LD50 Sources'!$A$2:$A$1000,$A91,'LD50 Sources'!$K$2:$K$1000,1)/_xlfn.MINIFS('LD50 Sources'!$C$2:$C$1000,'LD50 Sources'!$A$2:$A$1000,$A91,'LD50 Sources'!$K$2:$K$1000,1),1))</f>
        <v/>
      </c>
      <c r="K91" s="21" t="str">
        <f aca="false">IFERROR(INDEX('Yield Sources'!$C$2:$C$1000,MATCH($A91,'Yield Sources'!$N$2:$N$1000,0)),"")</f>
        <v/>
      </c>
      <c r="L91" s="21" t="str">
        <f aca="false">IFERROR(INDEX('Yield Sources'!$D$2:$D$1000,MATCH($A91,'Yield Sources'!$N$2:$N$1000,0)),"")</f>
        <v/>
      </c>
      <c r="M91" s="11" t="str">
        <f aca="false">IFERROR(INDEX('Yield Sources'!$J$2:$J$1000,MATCH($A91,'Yield Sources'!$N$2:$N$1000,0))&amp;"","")</f>
        <v/>
      </c>
      <c r="N91" s="20" t="str">
        <f aca="false">IF(COUNTIFS('Yield Sources'!$A$2:$A$1000,$A91,'Yield Sources'!$M$2:$M$1000,1)&lt;2,"",ROUND(_xlfn.MAXIFS('Yield Sources'!$D$2:$D$1000,'Yield Sources'!$A$2:$A$1000,$A91,'Yield Sources'!$M$2:$M$1000,1)/_xlfn.MINIFS('Yield Sources'!$D$2:$D$1000,'Yield Sources'!$A$2:$A$1000,$A91,'Yield Sources'!$M$2:$M$1000,1),1))</f>
        <v/>
      </c>
      <c r="O91" s="8" t="n">
        <v>3</v>
      </c>
      <c r="P91" s="8" t="n">
        <v>3</v>
      </c>
      <c r="Q91" s="5" t="s">
        <v>159</v>
      </c>
      <c r="R91" s="5" t="s">
        <v>151</v>
      </c>
      <c r="S91" s="11" t="str">
        <f aca="false">IFERROR(INDEX('Clinical Sources'!$M$2:$M$1000,MATCH($A91&amp;"|Annual deaths",'Clinical Sources'!$N$2:$N$1000,0)),"")</f>
        <v/>
      </c>
      <c r="T91" s="11" t="str">
        <f aca="false">IFERROR(INDEX('Clinical Sources'!$M$2:$M$1000,MATCH($A91&amp;"|Case-fatality rate",'Clinical Sources'!$N$2:$N$1000,0)),"")</f>
        <v/>
      </c>
      <c r="U91" s="9" t="s">
        <v>554</v>
      </c>
      <c r="V91" s="22"/>
      <c r="W91" s="22" t="s">
        <v>153</v>
      </c>
      <c r="X91" s="22"/>
      <c r="Y91" s="22"/>
      <c r="Z91" s="22"/>
      <c r="AA91" s="22"/>
      <c r="AB91" s="22"/>
      <c r="AC91" s="22"/>
      <c r="AD91" s="13" t="s">
        <v>154</v>
      </c>
      <c r="AE91" s="9" t="s">
        <v>555</v>
      </c>
    </row>
    <row r="92" customFormat="false" ht="14.25" hidden="false" customHeight="true" outlineLevel="0" collapsed="false">
      <c r="A92" s="4" t="s">
        <v>105</v>
      </c>
      <c r="B92" s="5" t="s">
        <v>556</v>
      </c>
      <c r="C92" s="9"/>
      <c r="D92" s="5" t="s">
        <v>165</v>
      </c>
      <c r="E92" s="5" t="s">
        <v>557</v>
      </c>
      <c r="F92" s="11" t="str">
        <f aca="false">IF(COUNTIF(V92:AC92,"Y")=0,"",UPPER(MID(IF(V92="Y","/neurotoxic","")&amp;IF(W92="Y","/hemotoxic","")&amp;IF(X92="Y","/procoagulant","")&amp;IF(Y92="Y","/anticoagulant","")&amp;IF(Z92="Y","/hemorrhagic","")&amp;IF(AA92="Y","/cytotoxic","")&amp;IF(AB92="Y","/myotoxic","")&amp;IF(AC92="Y","/cardiotoxic",""),2,1))&amp;MID(IF(V92="Y","/neurotoxic","")&amp;IF(W92="Y","/hemotoxic","")&amp;IF(X92="Y","/procoagulant","")&amp;IF(Y92="Y","/anticoagulant","")&amp;IF(Z92="Y","/hemorrhagic","")&amp;IF(AA92="Y","/cytotoxic","")&amp;IF(AB92="Y","/myotoxic","")&amp;IF(AC92="Y","/cardiotoxic",""),3,200))</f>
        <v>Neurotoxic/hemotoxic/procoagulant</v>
      </c>
      <c r="G92" s="19" t="n">
        <f aca="false">IFERROR(INDEX('LD50 Sources'!$C$2:$C$1000,MATCH($A92,'LD50 Sources'!$L$2:$L$1000,0)),"")</f>
        <v>1.09</v>
      </c>
      <c r="H92" s="11" t="str">
        <f aca="false">IFERROR(INDEX('LD50 Sources'!$D$2:$D$1000,MATCH($A92,'LD50 Sources'!$L$2:$L$1000,0))&amp;"","")</f>
        <v>SC</v>
      </c>
      <c r="I92" s="11" t="str">
        <f aca="false">IFERROR(INDEX('LD50 Sources'!$H$2:$H$1000,MATCH($A92,'LD50 Sources'!$L$2:$L$1000,0))&amp;"","")</f>
        <v>A</v>
      </c>
      <c r="J92" s="20" t="str">
        <f aca="false">IF(COUNTIFS('LD50 Sources'!$A$2:$A$1000,$A92,'LD50 Sources'!$K$2:$K$1000,1)&lt;2,"",ROUND(_xlfn.MAXIFS('LD50 Sources'!$C$2:$C$1000,'LD50 Sources'!$A$2:$A$1000,$A92,'LD50 Sources'!$K$2:$K$1000,1)/_xlfn.MINIFS('LD50 Sources'!$C$2:$C$1000,'LD50 Sources'!$A$2:$A$1000,$A92,'LD50 Sources'!$K$2:$K$1000,1),1))</f>
        <v/>
      </c>
      <c r="K92" s="21" t="n">
        <f aca="false">IFERROR(INDEX('Yield Sources'!$C$2:$C$1000,MATCH($A92,'Yield Sources'!$N$2:$N$1000,0)),"")</f>
        <v>200</v>
      </c>
      <c r="L92" s="21" t="n">
        <f aca="false">IFERROR(INDEX('Yield Sources'!$D$2:$D$1000,MATCH($A92,'Yield Sources'!$N$2:$N$1000,0)),"")</f>
        <v>494</v>
      </c>
      <c r="M92" s="11" t="str">
        <f aca="false">IFERROR(INDEX('Yield Sources'!$J$2:$J$1000,MATCH($A92,'Yield Sources'!$N$2:$N$1000,0))&amp;"","")</f>
        <v>C</v>
      </c>
      <c r="N92" s="20" t="str">
        <f aca="false">IF(COUNTIFS('Yield Sources'!$A$2:$A$1000,$A92,'Yield Sources'!$M$2:$M$1000,1)&lt;2,"",ROUND(_xlfn.MAXIFS('Yield Sources'!$D$2:$D$1000,'Yield Sources'!$A$2:$A$1000,$A92,'Yield Sources'!$M$2:$M$1000,1)/_xlfn.MINIFS('Yield Sources'!$D$2:$D$1000,'Yield Sources'!$A$2:$A$1000,$A92,'Yield Sources'!$M$2:$M$1000,1),1))</f>
        <v/>
      </c>
      <c r="O92" s="8" t="n">
        <v>2</v>
      </c>
      <c r="P92" s="8" t="n">
        <v>3</v>
      </c>
      <c r="Q92" s="5" t="s">
        <v>167</v>
      </c>
      <c r="R92" s="5" t="s">
        <v>174</v>
      </c>
      <c r="S92" s="11" t="str">
        <f aca="false">IFERROR(INDEX('Clinical Sources'!$M$2:$M$1000,MATCH($A92&amp;"|Annual deaths",'Clinical Sources'!$N$2:$N$1000,0)),"")</f>
        <v/>
      </c>
      <c r="T92" s="11" t="str">
        <f aca="false">IFERROR(INDEX('Clinical Sources'!$M$2:$M$1000,MATCH($A92&amp;"|Case-fatality rate",'Clinical Sources'!$N$2:$N$1000,0)),"")</f>
        <v/>
      </c>
      <c r="U92" s="9" t="s">
        <v>558</v>
      </c>
      <c r="V92" s="22" t="s">
        <v>153</v>
      </c>
      <c r="W92" s="22" t="s">
        <v>153</v>
      </c>
      <c r="X92" s="22" t="s">
        <v>153</v>
      </c>
      <c r="Y92" s="22"/>
      <c r="Z92" s="22"/>
      <c r="AA92" s="22"/>
      <c r="AB92" s="22"/>
      <c r="AC92" s="22"/>
      <c r="AD92" s="13" t="s">
        <v>154</v>
      </c>
      <c r="AE92" s="9" t="s">
        <v>559</v>
      </c>
    </row>
    <row r="93" customFormat="false" ht="14.25" hidden="false" customHeight="true" outlineLevel="0" collapsed="false">
      <c r="A93" s="4" t="s">
        <v>110</v>
      </c>
      <c r="B93" s="5" t="s">
        <v>560</v>
      </c>
      <c r="C93" s="9"/>
      <c r="D93" s="5" t="s">
        <v>165</v>
      </c>
      <c r="E93" s="5" t="s">
        <v>561</v>
      </c>
      <c r="F93" s="11" t="str">
        <f aca="false">IF(COUNTIF(V93:AC93,"Y")=0,"",UPPER(MID(IF(V93="Y","/neurotoxic","")&amp;IF(W93="Y","/hemotoxic","")&amp;IF(X93="Y","/procoagulant","")&amp;IF(Y93="Y","/anticoagulant","")&amp;IF(Z93="Y","/hemorrhagic","")&amp;IF(AA93="Y","/cytotoxic","")&amp;IF(AB93="Y","/myotoxic","")&amp;IF(AC93="Y","/cardiotoxic",""),2,1))&amp;MID(IF(V93="Y","/neurotoxic","")&amp;IF(W93="Y","/hemotoxic","")&amp;IF(X93="Y","/procoagulant","")&amp;IF(Y93="Y","/anticoagulant","")&amp;IF(Z93="Y","/hemorrhagic","")&amp;IF(AA93="Y","/cytotoxic","")&amp;IF(AB93="Y","/myotoxic","")&amp;IF(AC93="Y","/cardiotoxic",""),3,200))</f>
        <v>Hemotoxic/procoagulant/myotoxic</v>
      </c>
      <c r="G93" s="19" t="n">
        <f aca="false">IFERROR(INDEX('LD50 Sources'!$C$2:$C$1000,MATCH($A93,'LD50 Sources'!$L$2:$L$1000,0)),"")</f>
        <v>1.36</v>
      </c>
      <c r="H93" s="11" t="str">
        <f aca="false">IFERROR(INDEX('LD50 Sources'!$D$2:$D$1000,MATCH($A93,'LD50 Sources'!$L$2:$L$1000,0))&amp;"","")</f>
        <v>SC</v>
      </c>
      <c r="I93" s="11" t="str">
        <f aca="false">IFERROR(INDEX('LD50 Sources'!$H$2:$H$1000,MATCH($A93,'LD50 Sources'!$L$2:$L$1000,0))&amp;"","")</f>
        <v>A</v>
      </c>
      <c r="J93" s="20" t="str">
        <f aca="false">IF(COUNTIFS('LD50 Sources'!$A$2:$A$1000,$A93,'LD50 Sources'!$K$2:$K$1000,1)&lt;2,"",ROUND(_xlfn.MAXIFS('LD50 Sources'!$C$2:$C$1000,'LD50 Sources'!$A$2:$A$1000,$A93,'LD50 Sources'!$K$2:$K$1000,1)/_xlfn.MINIFS('LD50 Sources'!$C$2:$C$1000,'LD50 Sources'!$A$2:$A$1000,$A93,'LD50 Sources'!$K$2:$K$1000,1),1))</f>
        <v/>
      </c>
      <c r="K93" s="21" t="str">
        <f aca="false">IFERROR(INDEX('Yield Sources'!$C$2:$C$1000,MATCH($A93,'Yield Sources'!$N$2:$N$1000,0)),"")</f>
        <v/>
      </c>
      <c r="L93" s="21" t="str">
        <f aca="false">IFERROR(INDEX('Yield Sources'!$D$2:$D$1000,MATCH($A93,'Yield Sources'!$N$2:$N$1000,0)),"")</f>
        <v/>
      </c>
      <c r="M93" s="11" t="str">
        <f aca="false">IFERROR(INDEX('Yield Sources'!$J$2:$J$1000,MATCH($A93,'Yield Sources'!$N$2:$N$1000,0))&amp;"","")</f>
        <v/>
      </c>
      <c r="N93" s="20" t="str">
        <f aca="false">IF(COUNTIFS('Yield Sources'!$A$2:$A$1000,$A93,'Yield Sources'!$M$2:$M$1000,1)&lt;2,"",ROUND(_xlfn.MAXIFS('Yield Sources'!$D$2:$D$1000,'Yield Sources'!$A$2:$A$1000,$A93,'Yield Sources'!$M$2:$M$1000,1)/_xlfn.MINIFS('Yield Sources'!$D$2:$D$1000,'Yield Sources'!$A$2:$A$1000,$A93,'Yield Sources'!$M$2:$M$1000,1),1))</f>
        <v/>
      </c>
      <c r="O93" s="8" t="n">
        <v>4</v>
      </c>
      <c r="P93" s="8" t="n">
        <v>5</v>
      </c>
      <c r="Q93" s="5" t="s">
        <v>167</v>
      </c>
      <c r="R93" s="5" t="s">
        <v>151</v>
      </c>
      <c r="S93" s="11" t="str">
        <f aca="false">IFERROR(INDEX('Clinical Sources'!$M$2:$M$1000,MATCH($A93&amp;"|Annual deaths",'Clinical Sources'!$N$2:$N$1000,0)),"")</f>
        <v/>
      </c>
      <c r="T93" s="11" t="str">
        <f aca="false">IFERROR(INDEX('Clinical Sources'!$M$2:$M$1000,MATCH($A93&amp;"|Case-fatality rate",'Clinical Sources'!$N$2:$N$1000,0)),"")</f>
        <v/>
      </c>
      <c r="U93" s="9" t="s">
        <v>562</v>
      </c>
      <c r="V93" s="22"/>
      <c r="W93" s="22" t="s">
        <v>153</v>
      </c>
      <c r="X93" s="22" t="s">
        <v>153</v>
      </c>
      <c r="Y93" s="22"/>
      <c r="Z93" s="22"/>
      <c r="AA93" s="22"/>
      <c r="AB93" s="22" t="s">
        <v>153</v>
      </c>
      <c r="AC93" s="22"/>
      <c r="AD93" s="13" t="s">
        <v>154</v>
      </c>
      <c r="AE93" s="9" t="s">
        <v>563</v>
      </c>
    </row>
    <row r="94" customFormat="false" ht="14.25" hidden="false" customHeight="true" outlineLevel="0" collapsed="false">
      <c r="A94" s="4" t="s">
        <v>94</v>
      </c>
      <c r="B94" s="5" t="s">
        <v>564</v>
      </c>
      <c r="C94" s="9"/>
      <c r="D94" s="5" t="s">
        <v>165</v>
      </c>
      <c r="E94" s="5" t="s">
        <v>565</v>
      </c>
      <c r="F94" s="11" t="str">
        <f aca="false">IF(COUNTIF(V94:AC94,"Y")=0,"",UPPER(MID(IF(V94="Y","/neurotoxic","")&amp;IF(W94="Y","/hemotoxic","")&amp;IF(X94="Y","/procoagulant","")&amp;IF(Y94="Y","/anticoagulant","")&amp;IF(Z94="Y","/hemorrhagic","")&amp;IF(AA94="Y","/cytotoxic","")&amp;IF(AB94="Y","/myotoxic","")&amp;IF(AC94="Y","/cardiotoxic",""),2,1))&amp;MID(IF(V94="Y","/neurotoxic","")&amp;IF(W94="Y","/hemotoxic","")&amp;IF(X94="Y","/procoagulant","")&amp;IF(Y94="Y","/anticoagulant","")&amp;IF(Z94="Y","/hemorrhagic","")&amp;IF(AA94="Y","/cytotoxic","")&amp;IF(AB94="Y","/myotoxic","")&amp;IF(AC94="Y","/cardiotoxic",""),3,200))</f>
        <v/>
      </c>
      <c r="G94" s="19" t="n">
        <f aca="false">IFERROR(INDEX('LD50 Sources'!$C$2:$C$1000,MATCH($A94,'LD50 Sources'!$L$2:$L$1000,0)),"")</f>
        <v>2.67</v>
      </c>
      <c r="H94" s="11" t="str">
        <f aca="false">IFERROR(INDEX('LD50 Sources'!$D$2:$D$1000,MATCH($A94,'LD50 Sources'!$L$2:$L$1000,0))&amp;"","")</f>
        <v>SC</v>
      </c>
      <c r="I94" s="11" t="str">
        <f aca="false">IFERROR(INDEX('LD50 Sources'!$H$2:$H$1000,MATCH($A94,'LD50 Sources'!$L$2:$L$1000,0))&amp;"","")</f>
        <v>A</v>
      </c>
      <c r="J94" s="20" t="str">
        <f aca="false">IF(COUNTIFS('LD50 Sources'!$A$2:$A$1000,$A94,'LD50 Sources'!$K$2:$K$1000,1)&lt;2,"",ROUND(_xlfn.MAXIFS('LD50 Sources'!$C$2:$C$1000,'LD50 Sources'!$A$2:$A$1000,$A94,'LD50 Sources'!$K$2:$K$1000,1)/_xlfn.MINIFS('LD50 Sources'!$C$2:$C$1000,'LD50 Sources'!$A$2:$A$1000,$A94,'LD50 Sources'!$K$2:$K$1000,1),1))</f>
        <v/>
      </c>
      <c r="K94" s="21" t="str">
        <f aca="false">IFERROR(INDEX('Yield Sources'!$C$2:$C$1000,MATCH($A94,'Yield Sources'!$N$2:$N$1000,0)),"")</f>
        <v/>
      </c>
      <c r="L94" s="21" t="str">
        <f aca="false">IFERROR(INDEX('Yield Sources'!$D$2:$D$1000,MATCH($A94,'Yield Sources'!$N$2:$N$1000,0)),"")</f>
        <v/>
      </c>
      <c r="M94" s="11" t="str">
        <f aca="false">IFERROR(INDEX('Yield Sources'!$J$2:$J$1000,MATCH($A94,'Yield Sources'!$N$2:$N$1000,0))&amp;"","")</f>
        <v/>
      </c>
      <c r="N94" s="20" t="str">
        <f aca="false">IF(COUNTIFS('Yield Sources'!$A$2:$A$1000,$A94,'Yield Sources'!$M$2:$M$1000,1)&lt;2,"",ROUND(_xlfn.MAXIFS('Yield Sources'!$D$2:$D$1000,'Yield Sources'!$A$2:$A$1000,$A94,'Yield Sources'!$M$2:$M$1000,1)/_xlfn.MINIFS('Yield Sources'!$D$2:$D$1000,'Yield Sources'!$A$2:$A$1000,$A94,'Yield Sources'!$M$2:$M$1000,1),1))</f>
        <v/>
      </c>
      <c r="O94" s="8"/>
      <c r="P94" s="8"/>
      <c r="Q94" s="5"/>
      <c r="R94" s="5"/>
      <c r="S94" s="11" t="str">
        <f aca="false">IFERROR(INDEX('Clinical Sources'!$M$2:$M$1000,MATCH($A94&amp;"|Annual deaths",'Clinical Sources'!$N$2:$N$1000,0)),"")</f>
        <v/>
      </c>
      <c r="T94" s="11" t="str">
        <f aca="false">IFERROR(INDEX('Clinical Sources'!$M$2:$M$1000,MATCH($A94&amp;"|Case-fatality rate",'Clinical Sources'!$N$2:$N$1000,0)),"")</f>
        <v/>
      </c>
      <c r="U94" s="9"/>
      <c r="V94" s="22"/>
      <c r="W94" s="22"/>
      <c r="X94" s="22"/>
      <c r="Y94" s="22"/>
      <c r="Z94" s="22"/>
      <c r="AA94" s="22"/>
      <c r="AB94" s="22"/>
      <c r="AC94" s="22"/>
      <c r="AD94" s="13"/>
      <c r="AE94" s="9" t="s">
        <v>566</v>
      </c>
    </row>
    <row r="95" customFormat="false" ht="14.25" hidden="false" customHeight="true" outlineLevel="0" collapsed="false">
      <c r="A95" s="4" t="s">
        <v>96</v>
      </c>
      <c r="B95" s="5" t="s">
        <v>567</v>
      </c>
      <c r="C95" s="9"/>
      <c r="D95" s="5" t="s">
        <v>165</v>
      </c>
      <c r="E95" s="5" t="s">
        <v>568</v>
      </c>
      <c r="F95" s="11" t="str">
        <f aca="false">IF(COUNTIF(V95:AC95,"Y")=0,"",UPPER(MID(IF(V95="Y","/neurotoxic","")&amp;IF(W95="Y","/hemotoxic","")&amp;IF(X95="Y","/procoagulant","")&amp;IF(Y95="Y","/anticoagulant","")&amp;IF(Z95="Y","/hemorrhagic","")&amp;IF(AA95="Y","/cytotoxic","")&amp;IF(AB95="Y","/myotoxic","")&amp;IF(AC95="Y","/cardiotoxic",""),2,1))&amp;MID(IF(V95="Y","/neurotoxic","")&amp;IF(W95="Y","/hemotoxic","")&amp;IF(X95="Y","/procoagulant","")&amp;IF(Y95="Y","/anticoagulant","")&amp;IF(Z95="Y","/hemorrhagic","")&amp;IF(AA95="Y","/cytotoxic","")&amp;IF(AB95="Y","/myotoxic","")&amp;IF(AC95="Y","/cardiotoxic",""),3,200))</f>
        <v/>
      </c>
      <c r="G95" s="19" t="n">
        <f aca="false">IFERROR(INDEX('LD50 Sources'!$C$2:$C$1000,MATCH($A95,'LD50 Sources'!$L$2:$L$1000,0)),"")</f>
        <v>714.2</v>
      </c>
      <c r="H95" s="11" t="str">
        <f aca="false">IFERROR(INDEX('LD50 Sources'!$D$2:$D$1000,MATCH($A95,'LD50 Sources'!$L$2:$L$1000,0))&amp;"","")</f>
        <v>SC</v>
      </c>
      <c r="I95" s="11" t="str">
        <f aca="false">IFERROR(INDEX('LD50 Sources'!$H$2:$H$1000,MATCH($A95,'LD50 Sources'!$L$2:$L$1000,0))&amp;"","")</f>
        <v>A</v>
      </c>
      <c r="J95" s="20" t="str">
        <f aca="false">IF(COUNTIFS('LD50 Sources'!$A$2:$A$1000,$A95,'LD50 Sources'!$K$2:$K$1000,1)&lt;2,"",ROUND(_xlfn.MAXIFS('LD50 Sources'!$C$2:$C$1000,'LD50 Sources'!$A$2:$A$1000,$A95,'LD50 Sources'!$K$2:$K$1000,1)/_xlfn.MINIFS('LD50 Sources'!$C$2:$C$1000,'LD50 Sources'!$A$2:$A$1000,$A95,'LD50 Sources'!$K$2:$K$1000,1),1))</f>
        <v/>
      </c>
      <c r="K95" s="21" t="str">
        <f aca="false">IFERROR(INDEX('Yield Sources'!$C$2:$C$1000,MATCH($A95,'Yield Sources'!$N$2:$N$1000,0)),"")</f>
        <v/>
      </c>
      <c r="L95" s="21" t="str">
        <f aca="false">IFERROR(INDEX('Yield Sources'!$D$2:$D$1000,MATCH($A95,'Yield Sources'!$N$2:$N$1000,0)),"")</f>
        <v/>
      </c>
      <c r="M95" s="11" t="str">
        <f aca="false">IFERROR(INDEX('Yield Sources'!$J$2:$J$1000,MATCH($A95,'Yield Sources'!$N$2:$N$1000,0))&amp;"","")</f>
        <v/>
      </c>
      <c r="N95" s="20" t="str">
        <f aca="false">IF(COUNTIFS('Yield Sources'!$A$2:$A$1000,$A95,'Yield Sources'!$M$2:$M$1000,1)&lt;2,"",ROUND(_xlfn.MAXIFS('Yield Sources'!$D$2:$D$1000,'Yield Sources'!$A$2:$A$1000,$A95,'Yield Sources'!$M$2:$M$1000,1)/_xlfn.MINIFS('Yield Sources'!$D$2:$D$1000,'Yield Sources'!$A$2:$A$1000,$A95,'Yield Sources'!$M$2:$M$1000,1),1))</f>
        <v/>
      </c>
      <c r="O95" s="8"/>
      <c r="P95" s="8"/>
      <c r="Q95" s="5"/>
      <c r="R95" s="5"/>
      <c r="S95" s="11" t="str">
        <f aca="false">IFERROR(INDEX('Clinical Sources'!$M$2:$M$1000,MATCH($A95&amp;"|Annual deaths",'Clinical Sources'!$N$2:$N$1000,0)),"")</f>
        <v/>
      </c>
      <c r="T95" s="11" t="str">
        <f aca="false">IFERROR(INDEX('Clinical Sources'!$M$2:$M$1000,MATCH($A95&amp;"|Case-fatality rate",'Clinical Sources'!$N$2:$N$1000,0)),"")</f>
        <v/>
      </c>
      <c r="U95" s="9"/>
      <c r="V95" s="22"/>
      <c r="W95" s="22"/>
      <c r="X95" s="22"/>
      <c r="Y95" s="22"/>
      <c r="Z95" s="22"/>
      <c r="AA95" s="22"/>
      <c r="AB95" s="22"/>
      <c r="AC95" s="22"/>
      <c r="AD95" s="13"/>
      <c r="AE95" s="9" t="s">
        <v>569</v>
      </c>
    </row>
  </sheetData>
  <autoFilter ref="A1:U95"/>
  <dataValidations count="2">
    <dataValidation allowBlank="true" errorStyle="stop" operator="between" showDropDown="false" showErrorMessage="false" showInputMessage="false" sqref="P2:P300" type="whole">
      <formula1>1</formula1>
      <formula2>5</formula2>
    </dataValidation>
    <dataValidation allowBlank="true" errorStyle="stop" operator="between" showDropDown="false" showErrorMessage="false" showInputMessage="false" sqref="O2:O300" type="whole">
      <formula1>1</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10"/>
    <col collapsed="false" customWidth="true" hidden="false" outlineLevel="0" max="4" min="4" style="0" width="8"/>
    <col collapsed="false" customWidth="true" hidden="false" outlineLevel="0" max="5" min="5" style="0" width="10"/>
    <col collapsed="false" customWidth="true" hidden="false" outlineLevel="0" max="6" min="6" style="0" width="11"/>
    <col collapsed="false" customWidth="true" hidden="false" outlineLevel="0" max="7" min="7" style="0" width="48"/>
    <col collapsed="false" customWidth="true" hidden="false" outlineLevel="0" max="8" min="8" style="0" width="6"/>
    <col collapsed="false" customWidth="true" hidden="false" outlineLevel="0" max="9" min="9" style="0" width="13"/>
    <col collapsed="false" customWidth="true" hidden="false" outlineLevel="0" max="10" min="10" style="0" width="70"/>
    <col collapsed="false" customWidth="true" hidden="false" outlineLevel="0" max="11" min="11" style="0" width="7"/>
    <col collapsed="false" customWidth="true" hidden="false" outlineLevel="0" max="12" min="12" style="0" width="22"/>
  </cols>
  <sheetData>
    <row r="1" customFormat="false" ht="42" hidden="false" customHeight="true" outlineLevel="0" collapsed="false">
      <c r="A1" s="1" t="s">
        <v>0</v>
      </c>
      <c r="B1" s="2" t="s">
        <v>1</v>
      </c>
      <c r="C1" s="1" t="s">
        <v>570</v>
      </c>
      <c r="D1" s="1" t="s">
        <v>571</v>
      </c>
      <c r="E1" s="1" t="s">
        <v>572</v>
      </c>
      <c r="F1" s="1" t="s">
        <v>573</v>
      </c>
      <c r="G1" s="1" t="s">
        <v>574</v>
      </c>
      <c r="H1" s="1" t="s">
        <v>575</v>
      </c>
      <c r="I1" s="1" t="s">
        <v>576</v>
      </c>
      <c r="J1" s="1" t="s">
        <v>577</v>
      </c>
      <c r="K1" s="2" t="s">
        <v>578</v>
      </c>
      <c r="L1" s="2" t="s">
        <v>579</v>
      </c>
    </row>
    <row r="2" customFormat="false" ht="26.25" hidden="false" customHeight="true" outlineLevel="0" collapsed="false">
      <c r="A2" s="4" t="s">
        <v>41</v>
      </c>
      <c r="B2" s="11" t="str">
        <f aca="false">IFERROR(INDEX(Species!$B$2:$B$300,MATCH($A2,Species!$A$2:$A$300,0)),"NOT IN SPECIES")</f>
        <v>Common death adder</v>
      </c>
      <c r="C2" s="23" t="n">
        <v>0.4</v>
      </c>
      <c r="D2" s="5" t="s">
        <v>580</v>
      </c>
      <c r="E2" s="5" t="s">
        <v>581</v>
      </c>
      <c r="F2" s="5" t="s">
        <v>582</v>
      </c>
      <c r="G2" s="9" t="s">
        <v>583</v>
      </c>
      <c r="H2" s="5" t="s">
        <v>584</v>
      </c>
      <c r="I2" s="5" t="s">
        <v>585</v>
      </c>
      <c r="J2" s="9" t="s">
        <v>586</v>
      </c>
      <c r="K2" s="11" t="n">
        <f aca="false">IF(OR(I2="Used",I2="Alternative"),1,0)</f>
        <v>1</v>
      </c>
      <c r="L2" s="11" t="str">
        <f aca="false">IF(I2="Used",A2,"")</f>
        <v>Acanthophis antarcticus</v>
      </c>
    </row>
    <row r="3" customFormat="false" ht="26.25" hidden="false" customHeight="true" outlineLevel="0" collapsed="false">
      <c r="A3" s="4" t="s">
        <v>41</v>
      </c>
      <c r="B3" s="11" t="str">
        <f aca="false">IFERROR(INDEX(Species!$B$2:$B$300,MATCH($A3,Species!$A$2:$A$300,0)),"NOT IN SPECIES")</f>
        <v>Common death adder</v>
      </c>
      <c r="C3" s="23" t="n">
        <v>0.338</v>
      </c>
      <c r="D3" s="5" t="s">
        <v>580</v>
      </c>
      <c r="E3" s="5" t="s">
        <v>581</v>
      </c>
      <c r="F3" s="5" t="s">
        <v>587</v>
      </c>
      <c r="G3" s="9" t="s">
        <v>583</v>
      </c>
      <c r="H3" s="5" t="s">
        <v>584</v>
      </c>
      <c r="I3" s="5" t="s">
        <v>588</v>
      </c>
      <c r="J3" s="9" t="s">
        <v>589</v>
      </c>
      <c r="K3" s="11" t="n">
        <f aca="false">IF(OR(I3="Used",I3="Alternative"),1,0)</f>
        <v>0</v>
      </c>
      <c r="L3" s="11" t="str">
        <f aca="false">IF(I3="Used",A3,"")</f>
        <v/>
      </c>
    </row>
    <row r="4" customFormat="false" ht="26.25" hidden="false" customHeight="true" outlineLevel="0" collapsed="false">
      <c r="A4" s="4" t="s">
        <v>62</v>
      </c>
      <c r="B4" s="11" t="str">
        <f aca="false">IFERROR(INDEX(Species!$B$2:$B$300,MATCH($A4,Species!$A$2:$A$300,0)),"NOT IN SPECIES")</f>
        <v>Cantil</v>
      </c>
      <c r="C4" s="23" t="n">
        <v>0.8</v>
      </c>
      <c r="D4" s="5" t="s">
        <v>580</v>
      </c>
      <c r="E4" s="5" t="s">
        <v>590</v>
      </c>
      <c r="F4" s="5"/>
      <c r="G4" s="9" t="s">
        <v>591</v>
      </c>
      <c r="H4" s="5" t="s">
        <v>592</v>
      </c>
      <c r="I4" s="5" t="s">
        <v>585</v>
      </c>
      <c r="J4" s="9"/>
      <c r="K4" s="11" t="n">
        <f aca="false">IF(OR(I4="Used",I4="Alternative"),1,0)</f>
        <v>1</v>
      </c>
      <c r="L4" s="11" t="str">
        <f aca="false">IF(I4="Used",A4,"")</f>
        <v>Agkistrodon bilineatus</v>
      </c>
    </row>
    <row r="5" customFormat="false" ht="26.25" hidden="false" customHeight="true" outlineLevel="0" collapsed="false">
      <c r="A5" s="4" t="s">
        <v>90</v>
      </c>
      <c r="B5" s="11" t="str">
        <f aca="false">IFERROR(INDEX(Species!$B$2:$B$300,MATCH($A5,Species!$A$2:$A$300,0)),"NOT IN SPECIES")</f>
        <v>Copperhead</v>
      </c>
      <c r="C5" s="23" t="n">
        <v>10.9</v>
      </c>
      <c r="D5" s="5" t="s">
        <v>580</v>
      </c>
      <c r="E5" s="5" t="s">
        <v>590</v>
      </c>
      <c r="F5" s="5"/>
      <c r="G5" s="9" t="s">
        <v>591</v>
      </c>
      <c r="H5" s="5" t="s">
        <v>592</v>
      </c>
      <c r="I5" s="5" t="s">
        <v>585</v>
      </c>
      <c r="J5" s="9"/>
      <c r="K5" s="11" t="n">
        <f aca="false">IF(OR(I5="Used",I5="Alternative"),1,0)</f>
        <v>1</v>
      </c>
      <c r="L5" s="11" t="str">
        <f aca="false">IF(I5="Used",A5,"")</f>
        <v>Agkistrodon contortrix</v>
      </c>
    </row>
    <row r="6" customFormat="false" ht="26.25" hidden="false" customHeight="true" outlineLevel="0" collapsed="false">
      <c r="A6" s="4" t="s">
        <v>70</v>
      </c>
      <c r="B6" s="11" t="str">
        <f aca="false">IFERROR(INDEX(Species!$B$2:$B$300,MATCH($A6,Species!$A$2:$A$300,0)),"NOT IN SPECIES")</f>
        <v>Cottonmouth</v>
      </c>
      <c r="C6" s="23" t="n">
        <v>2.04</v>
      </c>
      <c r="D6" s="5" t="s">
        <v>580</v>
      </c>
      <c r="E6" s="5" t="s">
        <v>590</v>
      </c>
      <c r="F6" s="5"/>
      <c r="G6" s="9" t="s">
        <v>591</v>
      </c>
      <c r="H6" s="5" t="s">
        <v>592</v>
      </c>
      <c r="I6" s="5" t="s">
        <v>585</v>
      </c>
      <c r="J6" s="9"/>
      <c r="K6" s="11" t="n">
        <f aca="false">IF(OR(I6="Used",I6="Alternative"),1,0)</f>
        <v>1</v>
      </c>
      <c r="L6" s="11" t="str">
        <f aca="false">IF(I6="Used",A6,"")</f>
        <v>Agkistrodon piscivorus</v>
      </c>
    </row>
    <row r="7" customFormat="false" ht="26.25" hidden="false" customHeight="true" outlineLevel="0" collapsed="false">
      <c r="A7" s="4" t="s">
        <v>76</v>
      </c>
      <c r="B7" s="11" t="str">
        <f aca="false">IFERROR(INDEX(Species!$B$2:$B$300,MATCH($A7,Species!$A$2:$A$300,0)),"NOT IN SPECIES")</f>
        <v>Dubois' sea snake</v>
      </c>
      <c r="C7" s="23" t="n">
        <v>0.04</v>
      </c>
      <c r="D7" s="5" t="s">
        <v>580</v>
      </c>
      <c r="E7" s="5" t="s">
        <v>590</v>
      </c>
      <c r="F7" s="5"/>
      <c r="G7" s="9" t="s">
        <v>591</v>
      </c>
      <c r="H7" s="5" t="s">
        <v>592</v>
      </c>
      <c r="I7" s="5" t="s">
        <v>585</v>
      </c>
      <c r="J7" s="9"/>
      <c r="K7" s="11" t="n">
        <f aca="false">IF(OR(I7="Used",I7="Alternative"),1,0)</f>
        <v>1</v>
      </c>
      <c r="L7" s="11" t="str">
        <f aca="false">IF(I7="Used",A7,"")</f>
        <v>Aipysurus duboisii</v>
      </c>
    </row>
    <row r="8" customFormat="false" ht="26.25" hidden="false" customHeight="true" outlineLevel="0" collapsed="false">
      <c r="A8" s="4" t="s">
        <v>55</v>
      </c>
      <c r="B8" s="11" t="str">
        <f aca="false">IFERROR(INDEX(Species!$B$2:$B$300,MATCH($A8,Species!$A$2:$A$300,0)),"NOT IN SPECIES")</f>
        <v>Olive brown sea snake</v>
      </c>
      <c r="C8" s="23" t="n">
        <v>0.22</v>
      </c>
      <c r="D8" s="5" t="s">
        <v>580</v>
      </c>
      <c r="E8" s="5" t="s">
        <v>590</v>
      </c>
      <c r="F8" s="5"/>
      <c r="G8" s="9" t="s">
        <v>591</v>
      </c>
      <c r="H8" s="5" t="s">
        <v>592</v>
      </c>
      <c r="I8" s="5" t="s">
        <v>585</v>
      </c>
      <c r="J8" s="9"/>
      <c r="K8" s="11" t="n">
        <f aca="false">IF(OR(I8="Used",I8="Alternative"),1,0)</f>
        <v>1</v>
      </c>
      <c r="L8" s="11" t="str">
        <f aca="false">IF(I8="Used",A8,"")</f>
        <v>Aipysurus laevis</v>
      </c>
    </row>
    <row r="9" customFormat="false" ht="26.25" hidden="false" customHeight="true" outlineLevel="0" collapsed="false">
      <c r="A9" s="4" t="s">
        <v>91</v>
      </c>
      <c r="B9" s="11" t="str">
        <f aca="false">IFERROR(INDEX(Species!$B$2:$B$300,MATCH($A9,Species!$A$2:$A$300,0)),"NOT IN SPECIES")</f>
        <v>Lowlands copperhead</v>
      </c>
      <c r="C9" s="23" t="n">
        <v>0.56</v>
      </c>
      <c r="D9" s="5" t="s">
        <v>580</v>
      </c>
      <c r="E9" s="5" t="s">
        <v>581</v>
      </c>
      <c r="F9" s="5" t="s">
        <v>582</v>
      </c>
      <c r="G9" s="9" t="s">
        <v>583</v>
      </c>
      <c r="H9" s="5" t="s">
        <v>584</v>
      </c>
      <c r="I9" s="5" t="s">
        <v>585</v>
      </c>
      <c r="J9" s="9" t="s">
        <v>586</v>
      </c>
      <c r="K9" s="11" t="n">
        <f aca="false">IF(OR(I9="Used",I9="Alternative"),1,0)</f>
        <v>1</v>
      </c>
      <c r="L9" s="11" t="str">
        <f aca="false">IF(I9="Used",A9,"")</f>
        <v>Austrelaps superbus</v>
      </c>
    </row>
    <row r="10" customFormat="false" ht="26.25" hidden="false" customHeight="true" outlineLevel="0" collapsed="false">
      <c r="A10" s="4" t="s">
        <v>91</v>
      </c>
      <c r="B10" s="11" t="str">
        <f aca="false">IFERROR(INDEX(Species!$B$2:$B$300,MATCH($A10,Species!$A$2:$A$300,0)),"NOT IN SPECIES")</f>
        <v>Lowlands copperhead</v>
      </c>
      <c r="C10" s="23" t="n">
        <v>0.5</v>
      </c>
      <c r="D10" s="5" t="s">
        <v>580</v>
      </c>
      <c r="E10" s="5" t="s">
        <v>581</v>
      </c>
      <c r="F10" s="5" t="s">
        <v>587</v>
      </c>
      <c r="G10" s="9" t="s">
        <v>583</v>
      </c>
      <c r="H10" s="5" t="s">
        <v>584</v>
      </c>
      <c r="I10" s="5" t="s">
        <v>588</v>
      </c>
      <c r="J10" s="9" t="s">
        <v>589</v>
      </c>
      <c r="K10" s="11" t="n">
        <f aca="false">IF(OR(I10="Used",I10="Alternative"),1,0)</f>
        <v>0</v>
      </c>
      <c r="L10" s="11" t="str">
        <f aca="false">IF(I10="Used",A10,"")</f>
        <v/>
      </c>
    </row>
    <row r="11" customFormat="false" ht="26.25" hidden="false" customHeight="true" outlineLevel="0" collapsed="false">
      <c r="A11" s="4" t="s">
        <v>25</v>
      </c>
      <c r="B11" s="11" t="str">
        <f aca="false">IFERROR(INDEX(Species!$B$2:$B$300,MATCH($A11,Species!$A$2:$A$300,0)),"NOT IN SPECIES")</f>
        <v>Puff adder</v>
      </c>
      <c r="C11" s="23" t="n">
        <v>0.14</v>
      </c>
      <c r="D11" s="5" t="s">
        <v>580</v>
      </c>
      <c r="E11" s="5" t="s">
        <v>590</v>
      </c>
      <c r="F11" s="5"/>
      <c r="G11" s="9" t="s">
        <v>591</v>
      </c>
      <c r="H11" s="5" t="s">
        <v>592</v>
      </c>
      <c r="I11" s="5" t="s">
        <v>585</v>
      </c>
      <c r="J11" s="9"/>
      <c r="K11" s="11" t="n">
        <f aca="false">IF(OR(I11="Used",I11="Alternative"),1,0)</f>
        <v>1</v>
      </c>
      <c r="L11" s="11" t="str">
        <f aca="false">IF(I11="Used",A11,"")</f>
        <v>Bitis arietans</v>
      </c>
    </row>
    <row r="12" customFormat="false" ht="26.25" hidden="false" customHeight="true" outlineLevel="0" collapsed="false">
      <c r="A12" s="4" t="s">
        <v>22</v>
      </c>
      <c r="B12" s="11" t="str">
        <f aca="false">IFERROR(INDEX(Species!$B$2:$B$300,MATCH($A12,Species!$A$2:$A$300,0)),"NOT IN SPECIES")</f>
        <v>Gaboon viper</v>
      </c>
      <c r="C12" s="23" t="n">
        <v>0.14</v>
      </c>
      <c r="D12" s="5" t="s">
        <v>580</v>
      </c>
      <c r="E12" s="5" t="s">
        <v>590</v>
      </c>
      <c r="F12" s="5"/>
      <c r="G12" s="9" t="s">
        <v>591</v>
      </c>
      <c r="H12" s="5" t="s">
        <v>592</v>
      </c>
      <c r="I12" s="5" t="s">
        <v>585</v>
      </c>
      <c r="J12" s="9"/>
      <c r="K12" s="11" t="n">
        <f aca="false">IF(OR(I12="Used",I12="Alternative"),1,0)</f>
        <v>1</v>
      </c>
      <c r="L12" s="11" t="str">
        <f aca="false">IF(I12="Used",A12,"")</f>
        <v>Bitis gabonica</v>
      </c>
    </row>
    <row r="13" customFormat="false" ht="26.25" hidden="false" customHeight="true" outlineLevel="0" collapsed="false">
      <c r="A13" s="4" t="s">
        <v>49</v>
      </c>
      <c r="B13" s="11" t="str">
        <f aca="false">IFERROR(INDEX(Species!$B$2:$B$300,MATCH($A13,Species!$A$2:$A$300,0)),"NOT IN SPECIES")</f>
        <v>Rhinoceros viper</v>
      </c>
      <c r="C13" s="23" t="n">
        <v>0.6</v>
      </c>
      <c r="D13" s="5" t="s">
        <v>580</v>
      </c>
      <c r="E13" s="5" t="s">
        <v>590</v>
      </c>
      <c r="F13" s="5"/>
      <c r="G13" s="9" t="s">
        <v>591</v>
      </c>
      <c r="H13" s="5" t="s">
        <v>592</v>
      </c>
      <c r="I13" s="5" t="s">
        <v>585</v>
      </c>
      <c r="J13" s="9"/>
      <c r="K13" s="11" t="n">
        <f aca="false">IF(OR(I13="Used",I13="Alternative"),1,0)</f>
        <v>1</v>
      </c>
      <c r="L13" s="11" t="str">
        <f aca="false">IF(I13="Used",A13,"")</f>
        <v>Bitis nasicornis</v>
      </c>
    </row>
    <row r="14" customFormat="false" ht="26.25" hidden="false" customHeight="true" outlineLevel="0" collapsed="false">
      <c r="A14" s="4" t="s">
        <v>86</v>
      </c>
      <c r="B14" s="11" t="str">
        <f aca="false">IFERROR(INDEX(Species!$B$2:$B$300,MATCH($A14,Species!$A$2:$A$300,0)),"NOT IN SPECIES")</f>
        <v>Eyelash palm pit viper</v>
      </c>
      <c r="C14" s="23" t="n">
        <v>1.6</v>
      </c>
      <c r="D14" s="5" t="s">
        <v>580</v>
      </c>
      <c r="E14" s="5" t="s">
        <v>590</v>
      </c>
      <c r="F14" s="5"/>
      <c r="G14" s="9" t="s">
        <v>591</v>
      </c>
      <c r="H14" s="5" t="s">
        <v>592</v>
      </c>
      <c r="I14" s="5" t="s">
        <v>585</v>
      </c>
      <c r="J14" s="9"/>
      <c r="K14" s="11" t="n">
        <f aca="false">IF(OR(I14="Used",I14="Alternative"),1,0)</f>
        <v>1</v>
      </c>
      <c r="L14" s="11" t="str">
        <f aca="false">IF(I14="Used",A14,"")</f>
        <v>Bothriechis schlegelii</v>
      </c>
    </row>
    <row r="15" customFormat="false" ht="26.25" hidden="false" customHeight="true" outlineLevel="0" collapsed="false">
      <c r="A15" s="4" t="s">
        <v>77</v>
      </c>
      <c r="B15" s="11" t="str">
        <f aca="false">IFERROR(INDEX(Species!$B$2:$B$300,MATCH($A15,Species!$A$2:$A$300,0)),"NOT IN SPECIES")</f>
        <v>Urutu</v>
      </c>
      <c r="C15" s="23" t="n">
        <v>2</v>
      </c>
      <c r="D15" s="5" t="s">
        <v>580</v>
      </c>
      <c r="E15" s="5" t="s">
        <v>590</v>
      </c>
      <c r="F15" s="5"/>
      <c r="G15" s="9" t="s">
        <v>591</v>
      </c>
      <c r="H15" s="5" t="s">
        <v>592</v>
      </c>
      <c r="I15" s="5" t="s">
        <v>585</v>
      </c>
      <c r="J15" s="9"/>
      <c r="K15" s="11" t="n">
        <f aca="false">IF(OR(I15="Used",I15="Alternative"),1,0)</f>
        <v>1</v>
      </c>
      <c r="L15" s="11" t="str">
        <f aca="false">IF(I15="Used",A15,"")</f>
        <v>Bothrops alternatus</v>
      </c>
    </row>
    <row r="16" customFormat="false" ht="26.25" hidden="false" customHeight="true" outlineLevel="0" collapsed="false">
      <c r="A16" s="4" t="s">
        <v>51</v>
      </c>
      <c r="B16" s="11" t="str">
        <f aca="false">IFERROR(INDEX(Species!$B$2:$B$300,MATCH($A16,Species!$A$2:$A$300,0)),"NOT IN SPECIES")</f>
        <v>Terciopelo</v>
      </c>
      <c r="C16" s="23" t="n">
        <v>1.1</v>
      </c>
      <c r="D16" s="5" t="s">
        <v>580</v>
      </c>
      <c r="E16" s="5" t="s">
        <v>590</v>
      </c>
      <c r="F16" s="5"/>
      <c r="G16" s="9" t="s">
        <v>591</v>
      </c>
      <c r="H16" s="5" t="s">
        <v>592</v>
      </c>
      <c r="I16" s="5" t="s">
        <v>585</v>
      </c>
      <c r="J16" s="9"/>
      <c r="K16" s="11" t="n">
        <f aca="false">IF(OR(I16="Used",I16="Alternative"),1,0)</f>
        <v>1</v>
      </c>
      <c r="L16" s="11" t="str">
        <f aca="false">IF(I16="Used",A16,"")</f>
        <v>Bothrops asper</v>
      </c>
    </row>
    <row r="17" customFormat="false" ht="26.25" hidden="false" customHeight="true" outlineLevel="0" collapsed="false">
      <c r="A17" s="4" t="s">
        <v>40</v>
      </c>
      <c r="B17" s="11" t="str">
        <f aca="false">IFERROR(INDEX(Species!$B$2:$B$300,MATCH($A17,Species!$A$2:$A$300,0)),"NOT IN SPECIES")</f>
        <v>Common lancehead</v>
      </c>
      <c r="C17" s="23" t="n">
        <v>0.35</v>
      </c>
      <c r="D17" s="5" t="s">
        <v>580</v>
      </c>
      <c r="E17" s="5" t="s">
        <v>590</v>
      </c>
      <c r="F17" s="5"/>
      <c r="G17" s="9" t="s">
        <v>591</v>
      </c>
      <c r="H17" s="5" t="s">
        <v>592</v>
      </c>
      <c r="I17" s="5" t="s">
        <v>585</v>
      </c>
      <c r="J17" s="9"/>
      <c r="K17" s="11" t="n">
        <f aca="false">IF(OR(I17="Used",I17="Alternative"),1,0)</f>
        <v>1</v>
      </c>
      <c r="L17" s="11" t="str">
        <f aca="false">IF(I17="Used",A17,"")</f>
        <v>Bothrops atrox</v>
      </c>
    </row>
    <row r="18" customFormat="false" ht="26.25" hidden="false" customHeight="true" outlineLevel="0" collapsed="false">
      <c r="A18" s="4" t="s">
        <v>71</v>
      </c>
      <c r="B18" s="11" t="str">
        <f aca="false">IFERROR(INDEX(Species!$B$2:$B$300,MATCH($A18,Species!$A$2:$A$300,0)),"NOT IN SPECIES")</f>
        <v>Jararaca</v>
      </c>
      <c r="C18" s="23" t="n">
        <v>1.1</v>
      </c>
      <c r="D18" s="5" t="s">
        <v>580</v>
      </c>
      <c r="E18" s="5" t="s">
        <v>590</v>
      </c>
      <c r="F18" s="5"/>
      <c r="G18" s="9" t="s">
        <v>591</v>
      </c>
      <c r="H18" s="5" t="s">
        <v>592</v>
      </c>
      <c r="I18" s="5" t="s">
        <v>585</v>
      </c>
      <c r="J18" s="9"/>
      <c r="K18" s="11" t="n">
        <f aca="false">IF(OR(I18="Used",I18="Alternative"),1,0)</f>
        <v>1</v>
      </c>
      <c r="L18" s="11" t="str">
        <f aca="false">IF(I18="Used",A18,"")</f>
        <v>Bothrops jararaca</v>
      </c>
    </row>
    <row r="19" customFormat="false" ht="26.25" hidden="false" customHeight="true" outlineLevel="0" collapsed="false">
      <c r="A19" s="4" t="s">
        <v>35</v>
      </c>
      <c r="B19" s="11" t="str">
        <f aca="false">IFERROR(INDEX(Species!$B$2:$B$300,MATCH($A19,Species!$A$2:$A$300,0)),"NOT IN SPECIES")</f>
        <v>Jararacussu</v>
      </c>
      <c r="C19" s="23" t="n">
        <v>0.46</v>
      </c>
      <c r="D19" s="5" t="s">
        <v>580</v>
      </c>
      <c r="E19" s="5" t="s">
        <v>590</v>
      </c>
      <c r="F19" s="5"/>
      <c r="G19" s="9" t="s">
        <v>591</v>
      </c>
      <c r="H19" s="5" t="s">
        <v>592</v>
      </c>
      <c r="I19" s="5" t="s">
        <v>585</v>
      </c>
      <c r="J19" s="9"/>
      <c r="K19" s="11" t="n">
        <f aca="false">IF(OR(I19="Used",I19="Alternative"),1,0)</f>
        <v>1</v>
      </c>
      <c r="L19" s="11" t="str">
        <f aca="false">IF(I19="Used",A19,"")</f>
        <v>Bothrops jararacussu</v>
      </c>
    </row>
    <row r="20" customFormat="false" ht="26.25" hidden="false" customHeight="true" outlineLevel="0" collapsed="false">
      <c r="A20" s="4" t="s">
        <v>74</v>
      </c>
      <c r="B20" s="11" t="str">
        <f aca="false">IFERROR(INDEX(Species!$B$2:$B$300,MATCH($A20,Species!$A$2:$A$300,0)),"NOT IN SPECIES")</f>
        <v>Picado's pit viper</v>
      </c>
      <c r="C20" s="23" t="n">
        <v>1.33</v>
      </c>
      <c r="D20" s="5" t="s">
        <v>580</v>
      </c>
      <c r="E20" s="5" t="s">
        <v>590</v>
      </c>
      <c r="F20" s="5"/>
      <c r="G20" s="9" t="s">
        <v>591</v>
      </c>
      <c r="H20" s="5" t="s">
        <v>592</v>
      </c>
      <c r="I20" s="5" t="s">
        <v>585</v>
      </c>
      <c r="J20" s="9"/>
      <c r="K20" s="11" t="n">
        <f aca="false">IF(OR(I20="Used",I20="Alternative"),1,0)</f>
        <v>1</v>
      </c>
      <c r="L20" s="11" t="str">
        <f aca="false">IF(I20="Used",A20,"")</f>
        <v>Bothrops picadoi</v>
      </c>
    </row>
    <row r="21" customFormat="false" ht="26.25" hidden="false" customHeight="true" outlineLevel="0" collapsed="false">
      <c r="A21" s="4" t="s">
        <v>47</v>
      </c>
      <c r="B21" s="11" t="str">
        <f aca="false">IFERROR(INDEX(Species!$B$2:$B$300,MATCH($A21,Species!$A$2:$A$300,0)),"NOT IN SPECIES")</f>
        <v>Common Indian krait</v>
      </c>
      <c r="C21" s="23" t="n">
        <v>0.09</v>
      </c>
      <c r="D21" s="5" t="s">
        <v>580</v>
      </c>
      <c r="E21" s="5" t="s">
        <v>590</v>
      </c>
      <c r="F21" s="5"/>
      <c r="G21" s="9" t="s">
        <v>591</v>
      </c>
      <c r="H21" s="5" t="s">
        <v>592</v>
      </c>
      <c r="I21" s="5" t="s">
        <v>585</v>
      </c>
      <c r="J21" s="9"/>
      <c r="K21" s="11" t="n">
        <f aca="false">IF(OR(I21="Used",I21="Alternative"),1,0)</f>
        <v>1</v>
      </c>
      <c r="L21" s="11" t="str">
        <f aca="false">IF(I21="Used",A21,"")</f>
        <v>Bungarus caeruleus</v>
      </c>
    </row>
    <row r="22" customFormat="false" ht="26.25" hidden="false" customHeight="true" outlineLevel="0" collapsed="false">
      <c r="A22" s="4" t="s">
        <v>66</v>
      </c>
      <c r="B22" s="11" t="str">
        <f aca="false">IFERROR(INDEX(Species!$B$2:$B$300,MATCH($A22,Species!$A$2:$A$300,0)),"NOT IN SPECIES")</f>
        <v>Malayan krait</v>
      </c>
      <c r="C22" s="23" t="n">
        <v>0.1</v>
      </c>
      <c r="D22" s="5" t="s">
        <v>593</v>
      </c>
      <c r="E22" s="5" t="s">
        <v>581</v>
      </c>
      <c r="F22" s="5"/>
      <c r="G22" s="9" t="s">
        <v>591</v>
      </c>
      <c r="H22" s="5" t="s">
        <v>592</v>
      </c>
      <c r="I22" s="5" t="s">
        <v>585</v>
      </c>
      <c r="J22" s="9"/>
      <c r="K22" s="11" t="n">
        <f aca="false">IF(OR(I22="Used",I22="Alternative"),1,0)</f>
        <v>1</v>
      </c>
      <c r="L22" s="11" t="str">
        <f aca="false">IF(I22="Used",A22,"")</f>
        <v>Bungarus candidus</v>
      </c>
    </row>
    <row r="23" customFormat="false" ht="26.25" hidden="false" customHeight="true" outlineLevel="0" collapsed="false">
      <c r="A23" s="4" t="s">
        <v>67</v>
      </c>
      <c r="B23" s="11" t="str">
        <f aca="false">IFERROR(INDEX(Species!$B$2:$B$300,MATCH($A23,Species!$A$2:$A$300,0)),"NOT IN SPECIES")</f>
        <v>Banded krait</v>
      </c>
      <c r="C23" s="23" t="n">
        <v>1.2</v>
      </c>
      <c r="D23" s="5" t="s">
        <v>580</v>
      </c>
      <c r="E23" s="5" t="s">
        <v>590</v>
      </c>
      <c r="F23" s="5"/>
      <c r="G23" s="9" t="s">
        <v>591</v>
      </c>
      <c r="H23" s="5" t="s">
        <v>592</v>
      </c>
      <c r="I23" s="5" t="s">
        <v>585</v>
      </c>
      <c r="J23" s="9"/>
      <c r="K23" s="11" t="n">
        <f aca="false">IF(OR(I23="Used",I23="Alternative"),1,0)</f>
        <v>1</v>
      </c>
      <c r="L23" s="11" t="str">
        <f aca="false">IF(I23="Used",A23,"")</f>
        <v>Bungarus fasciatus</v>
      </c>
    </row>
    <row r="24" customFormat="false" ht="26.25" hidden="false" customHeight="true" outlineLevel="0" collapsed="false">
      <c r="A24" s="4" t="s">
        <v>92</v>
      </c>
      <c r="B24" s="11" t="str">
        <f aca="false">IFERROR(INDEX(Species!$B$2:$B$300,MATCH($A24,Species!$A$2:$A$300,0)),"NOT IN SPECIES")</f>
        <v>Many-banded krait</v>
      </c>
      <c r="C24" s="23" t="n">
        <v>0.108</v>
      </c>
      <c r="D24" s="5" t="s">
        <v>580</v>
      </c>
      <c r="E24" s="5" t="s">
        <v>590</v>
      </c>
      <c r="F24" s="5"/>
      <c r="G24" s="9" t="s">
        <v>591</v>
      </c>
      <c r="H24" s="5" t="s">
        <v>592</v>
      </c>
      <c r="I24" s="5" t="s">
        <v>585</v>
      </c>
      <c r="J24" s="9"/>
      <c r="K24" s="11" t="n">
        <f aca="false">IF(OR(I24="Used",I24="Alternative"),1,0)</f>
        <v>1</v>
      </c>
      <c r="L24" s="11" t="str">
        <f aca="false">IF(I24="Used",A24,"")</f>
        <v>Bungarus multicinctus</v>
      </c>
    </row>
    <row r="25" customFormat="false" ht="26.25" hidden="false" customHeight="true" outlineLevel="0" collapsed="false">
      <c r="A25" s="4" t="s">
        <v>75</v>
      </c>
      <c r="B25" s="11" t="str">
        <f aca="false">IFERROR(INDEX(Species!$B$2:$B$300,MATCH($A25,Species!$A$2:$A$300,0)),"NOT IN SPECIES")</f>
        <v>Malayan pit viper</v>
      </c>
      <c r="C25" s="23" t="n">
        <v>1.24</v>
      </c>
      <c r="D25" s="5" t="s">
        <v>580</v>
      </c>
      <c r="E25" s="5" t="s">
        <v>590</v>
      </c>
      <c r="F25" s="5"/>
      <c r="G25" s="9" t="s">
        <v>591</v>
      </c>
      <c r="H25" s="5" t="s">
        <v>592</v>
      </c>
      <c r="I25" s="5" t="s">
        <v>585</v>
      </c>
      <c r="J25" s="9"/>
      <c r="K25" s="11" t="n">
        <f aca="false">IF(OR(I25="Used",I25="Alternative"),1,0)</f>
        <v>1</v>
      </c>
      <c r="L25" s="11" t="str">
        <f aca="false">IF(I25="Used",A25,"")</f>
        <v>Calloselasma rhodostoma</v>
      </c>
    </row>
    <row r="26" customFormat="false" ht="26.25" hidden="false" customHeight="true" outlineLevel="0" collapsed="false">
      <c r="A26" s="4" t="s">
        <v>85</v>
      </c>
      <c r="B26" s="11" t="str">
        <f aca="false">IFERROR(INDEX(Species!$B$2:$B$300,MATCH($A26,Species!$A$2:$A$300,0)),"NOT IN SPECIES")</f>
        <v>Common night adder</v>
      </c>
      <c r="C26" s="23" t="n">
        <v>1.85</v>
      </c>
      <c r="D26" s="5" t="s">
        <v>580</v>
      </c>
      <c r="E26" s="5" t="s">
        <v>590</v>
      </c>
      <c r="F26" s="5"/>
      <c r="G26" s="9" t="s">
        <v>591</v>
      </c>
      <c r="H26" s="5" t="s">
        <v>592</v>
      </c>
      <c r="I26" s="5" t="s">
        <v>585</v>
      </c>
      <c r="J26" s="9"/>
      <c r="K26" s="11" t="n">
        <f aca="false">IF(OR(I26="Used",I26="Alternative"),1,0)</f>
        <v>1</v>
      </c>
      <c r="L26" s="11" t="str">
        <f aca="false">IF(I26="Used",A26,"")</f>
        <v>Causus rhombeatus</v>
      </c>
    </row>
    <row r="27" customFormat="false" ht="26.25" hidden="false" customHeight="true" outlineLevel="0" collapsed="false">
      <c r="A27" s="4" t="s">
        <v>36</v>
      </c>
      <c r="B27" s="11" t="str">
        <f aca="false">IFERROR(INDEX(Species!$B$2:$B$300,MATCH($A27,Species!$A$2:$A$300,0)),"NOT IN SPECIES")</f>
        <v>Desert horned viper</v>
      </c>
      <c r="C27" s="23" t="n">
        <v>0.1</v>
      </c>
      <c r="D27" s="5" t="s">
        <v>580</v>
      </c>
      <c r="E27" s="5" t="s">
        <v>590</v>
      </c>
      <c r="F27" s="5"/>
      <c r="G27" s="9" t="s">
        <v>591</v>
      </c>
      <c r="H27" s="5" t="s">
        <v>592</v>
      </c>
      <c r="I27" s="5" t="s">
        <v>585</v>
      </c>
      <c r="J27" s="9"/>
      <c r="K27" s="11" t="n">
        <f aca="false">IF(OR(I27="Used",I27="Alternative"),1,0)</f>
        <v>1</v>
      </c>
      <c r="L27" s="11" t="str">
        <f aca="false">IF(I27="Used",A27,"")</f>
        <v>Cerastes cerastes</v>
      </c>
    </row>
    <row r="28" customFormat="false" ht="14.25" hidden="false" customHeight="true" outlineLevel="0" collapsed="false">
      <c r="A28" s="4" t="s">
        <v>43</v>
      </c>
      <c r="B28" s="11" t="str">
        <f aca="false">IFERROR(INDEX(Species!$B$2:$B$300,MATCH($A28,Species!$A$2:$A$300,0)),"NOT IN SPECIES")</f>
        <v>Eastern diamondback rattlesnake</v>
      </c>
      <c r="C28" s="23" t="n">
        <v>1.2</v>
      </c>
      <c r="D28" s="5" t="s">
        <v>580</v>
      </c>
      <c r="E28" s="5" t="s">
        <v>590</v>
      </c>
      <c r="F28" s="5"/>
      <c r="G28" s="9" t="s">
        <v>594</v>
      </c>
      <c r="H28" s="5" t="s">
        <v>595</v>
      </c>
      <c r="I28" s="5" t="s">
        <v>585</v>
      </c>
      <c r="J28" s="9" t="s">
        <v>596</v>
      </c>
      <c r="K28" s="11" t="n">
        <f aca="false">IF(OR(I28="Used",I28="Alternative"),1,0)</f>
        <v>1</v>
      </c>
      <c r="L28" s="11" t="str">
        <f aca="false">IF(I28="Used",A28,"")</f>
        <v>Crotalus adamanteus</v>
      </c>
    </row>
    <row r="29" customFormat="false" ht="26.25" hidden="false" customHeight="true" outlineLevel="0" collapsed="false">
      <c r="A29" s="4" t="s">
        <v>43</v>
      </c>
      <c r="B29" s="11" t="str">
        <f aca="false">IFERROR(INDEX(Species!$B$2:$B$300,MATCH($A29,Species!$A$2:$A$300,0)),"NOT IN SPECIES")</f>
        <v>Eastern diamondback rattlesnake</v>
      </c>
      <c r="C29" s="23" t="n">
        <v>11.4</v>
      </c>
      <c r="D29" s="5" t="s">
        <v>580</v>
      </c>
      <c r="E29" s="5" t="s">
        <v>581</v>
      </c>
      <c r="F29" s="5" t="s">
        <v>582</v>
      </c>
      <c r="G29" s="9" t="s">
        <v>583</v>
      </c>
      <c r="H29" s="5" t="s">
        <v>584</v>
      </c>
      <c r="I29" s="5" t="s">
        <v>597</v>
      </c>
      <c r="J29" s="9" t="s">
        <v>598</v>
      </c>
      <c r="K29" s="11" t="n">
        <f aca="false">IF(OR(I29="Used",I29="Alternative"),1,0)</f>
        <v>1</v>
      </c>
      <c r="L29" s="11" t="str">
        <f aca="false">IF(I29="Used",A29,"")</f>
        <v/>
      </c>
    </row>
    <row r="30" customFormat="false" ht="26.25" hidden="false" customHeight="true" outlineLevel="0" collapsed="false">
      <c r="A30" s="4" t="s">
        <v>43</v>
      </c>
      <c r="B30" s="11" t="str">
        <f aca="false">IFERROR(INDEX(Species!$B$2:$B$300,MATCH($A30,Species!$A$2:$A$300,0)),"NOT IN SPECIES")</f>
        <v>Eastern diamondback rattlesnake</v>
      </c>
      <c r="C30" s="23" t="n">
        <v>7.7</v>
      </c>
      <c r="D30" s="5" t="s">
        <v>580</v>
      </c>
      <c r="E30" s="5" t="s">
        <v>581</v>
      </c>
      <c r="F30" s="5" t="s">
        <v>587</v>
      </c>
      <c r="G30" s="9" t="s">
        <v>583</v>
      </c>
      <c r="H30" s="5" t="s">
        <v>584</v>
      </c>
      <c r="I30" s="5" t="s">
        <v>588</v>
      </c>
      <c r="J30" s="9" t="s">
        <v>589</v>
      </c>
      <c r="K30" s="11" t="n">
        <f aca="false">IF(OR(I30="Used",I30="Alternative"),1,0)</f>
        <v>0</v>
      </c>
      <c r="L30" s="11" t="str">
        <f aca="false">IF(I30="Used",A30,"")</f>
        <v/>
      </c>
    </row>
    <row r="31" customFormat="false" ht="26.25" hidden="false" customHeight="true" outlineLevel="0" collapsed="false">
      <c r="A31" s="4" t="s">
        <v>56</v>
      </c>
      <c r="B31" s="11" t="str">
        <f aca="false">IFERROR(INDEX(Species!$B$2:$B$300,MATCH($A31,Species!$A$2:$A$300,0)),"NOT IN SPECIES")</f>
        <v>Western diamondback rattlesnake</v>
      </c>
      <c r="C31" s="23" t="n">
        <v>2.2</v>
      </c>
      <c r="D31" s="5" t="s">
        <v>580</v>
      </c>
      <c r="E31" s="5" t="s">
        <v>590</v>
      </c>
      <c r="F31" s="5"/>
      <c r="G31" s="9" t="s">
        <v>591</v>
      </c>
      <c r="H31" s="5" t="s">
        <v>592</v>
      </c>
      <c r="I31" s="5" t="s">
        <v>585</v>
      </c>
      <c r="J31" s="9"/>
      <c r="K31" s="11" t="n">
        <f aca="false">IF(OR(I31="Used",I31="Alternative"),1,0)</f>
        <v>1</v>
      </c>
      <c r="L31" s="11" t="str">
        <f aca="false">IF(I31="Used",A31,"")</f>
        <v>Crotalus atrox</v>
      </c>
    </row>
    <row r="32" customFormat="false" ht="26.25" hidden="false" customHeight="true" outlineLevel="0" collapsed="false">
      <c r="A32" s="4" t="s">
        <v>84</v>
      </c>
      <c r="B32" s="11" t="str">
        <f aca="false">IFERROR(INDEX(Species!$B$2:$B$300,MATCH($A32,Species!$A$2:$A$300,0)),"NOT IN SPECIES")</f>
        <v>Sidewinder</v>
      </c>
      <c r="C32" s="23" t="n">
        <v>2.6</v>
      </c>
      <c r="D32" s="5" t="s">
        <v>580</v>
      </c>
      <c r="E32" s="5" t="s">
        <v>590</v>
      </c>
      <c r="F32" s="5"/>
      <c r="G32" s="9" t="s">
        <v>591</v>
      </c>
      <c r="H32" s="5" t="s">
        <v>592</v>
      </c>
      <c r="I32" s="5" t="s">
        <v>585</v>
      </c>
      <c r="J32" s="9"/>
      <c r="K32" s="11" t="n">
        <f aca="false">IF(OR(I32="Used",I32="Alternative"),1,0)</f>
        <v>1</v>
      </c>
      <c r="L32" s="11" t="str">
        <f aca="false">IF(I32="Used",A32,"")</f>
        <v>Crotalus cerastes</v>
      </c>
    </row>
    <row r="33" customFormat="false" ht="26.25" hidden="false" customHeight="true" outlineLevel="0" collapsed="false">
      <c r="A33" s="4" t="s">
        <v>34</v>
      </c>
      <c r="B33" s="11" t="str">
        <f aca="false">IFERROR(INDEX(Species!$B$2:$B$300,MATCH($A33,Species!$A$2:$A$300,0)),"NOT IN SPECIES")</f>
        <v>Neotropical rattlesnake</v>
      </c>
      <c r="C33" s="23" t="n">
        <v>0.17</v>
      </c>
      <c r="D33" s="5" t="s">
        <v>580</v>
      </c>
      <c r="E33" s="5" t="s">
        <v>590</v>
      </c>
      <c r="F33" s="5"/>
      <c r="G33" s="9" t="s">
        <v>591</v>
      </c>
      <c r="H33" s="5" t="s">
        <v>592</v>
      </c>
      <c r="I33" s="5" t="s">
        <v>585</v>
      </c>
      <c r="J33" s="9"/>
      <c r="K33" s="11" t="n">
        <f aca="false">IF(OR(I33="Used",I33="Alternative"),1,0)</f>
        <v>1</v>
      </c>
      <c r="L33" s="11" t="str">
        <f aca="false">IF(I33="Used",A33,"")</f>
        <v>Crotalus durissus</v>
      </c>
    </row>
    <row r="34" customFormat="false" ht="26.25" hidden="false" customHeight="true" outlineLevel="0" collapsed="false">
      <c r="A34" s="4" t="s">
        <v>64</v>
      </c>
      <c r="B34" s="11" t="str">
        <f aca="false">IFERROR(INDEX(Species!$B$2:$B$300,MATCH($A34,Species!$A$2:$A$300,0)),"NOT IN SPECIES")</f>
        <v>Timber rattlesnake</v>
      </c>
      <c r="C34" s="23" t="n">
        <v>1.64</v>
      </c>
      <c r="D34" s="5" t="s">
        <v>580</v>
      </c>
      <c r="E34" s="5" t="s">
        <v>590</v>
      </c>
      <c r="F34" s="5"/>
      <c r="G34" s="9" t="s">
        <v>591</v>
      </c>
      <c r="H34" s="5" t="s">
        <v>592</v>
      </c>
      <c r="I34" s="5" t="s">
        <v>585</v>
      </c>
      <c r="J34" s="9"/>
      <c r="K34" s="11" t="n">
        <f aca="false">IF(OR(I34="Used",I34="Alternative"),1,0)</f>
        <v>1</v>
      </c>
      <c r="L34" s="11" t="str">
        <f aca="false">IF(I34="Used",A34,"")</f>
        <v>Crotalus horridus</v>
      </c>
    </row>
    <row r="35" customFormat="false" ht="26.25" hidden="false" customHeight="true" outlineLevel="0" collapsed="false">
      <c r="A35" s="4" t="s">
        <v>88</v>
      </c>
      <c r="B35" s="11" t="str">
        <f aca="false">IFERROR(INDEX(Species!$B$2:$B$300,MATCH($A35,Species!$A$2:$A$300,0)),"NOT IN SPECIES")</f>
        <v>Mottled rock rattlesnake</v>
      </c>
      <c r="C35" s="23" t="n">
        <v>9</v>
      </c>
      <c r="D35" s="5" t="s">
        <v>580</v>
      </c>
      <c r="E35" s="5" t="s">
        <v>590</v>
      </c>
      <c r="F35" s="5"/>
      <c r="G35" s="9" t="s">
        <v>591</v>
      </c>
      <c r="H35" s="5" t="s">
        <v>592</v>
      </c>
      <c r="I35" s="5" t="s">
        <v>585</v>
      </c>
      <c r="J35" s="9"/>
      <c r="K35" s="11" t="n">
        <f aca="false">IF(OR(I35="Used",I35="Alternative"),1,0)</f>
        <v>1</v>
      </c>
      <c r="L35" s="11" t="str">
        <f aca="false">IF(I35="Used",A35,"")</f>
        <v>Crotalus lepidus</v>
      </c>
    </row>
    <row r="36" customFormat="false" ht="26.25" hidden="false" customHeight="true" outlineLevel="0" collapsed="false">
      <c r="A36" s="4" t="s">
        <v>93</v>
      </c>
      <c r="B36" s="11" t="str">
        <f aca="false">IFERROR(INDEX(Species!$B$2:$B$300,MATCH($A36,Species!$A$2:$A$300,0)),"NOT IN SPECIES")</f>
        <v>Speckled rattlesnake</v>
      </c>
      <c r="C36" s="23" t="n">
        <v>0.21</v>
      </c>
      <c r="D36" s="5" t="s">
        <v>599</v>
      </c>
      <c r="E36" s="5"/>
      <c r="F36" s="5"/>
      <c r="G36" s="9" t="s">
        <v>600</v>
      </c>
      <c r="H36" s="5" t="s">
        <v>595</v>
      </c>
      <c r="I36" s="5" t="s">
        <v>585</v>
      </c>
      <c r="J36" s="9" t="s">
        <v>601</v>
      </c>
      <c r="K36" s="11" t="n">
        <f aca="false">IF(OR(I36="Used",I36="Alternative"),1,0)</f>
        <v>1</v>
      </c>
      <c r="L36" s="11" t="str">
        <f aca="false">IF(I36="Used",A36,"")</f>
        <v>Crotalus mitchellii</v>
      </c>
    </row>
    <row r="37" customFormat="false" ht="26.25" hidden="false" customHeight="true" outlineLevel="0" collapsed="false">
      <c r="A37" s="4" t="s">
        <v>53</v>
      </c>
      <c r="B37" s="11" t="str">
        <f aca="false">IFERROR(INDEX(Species!$B$2:$B$300,MATCH($A37,Species!$A$2:$A$300,0)),"NOT IN SPECIES")</f>
        <v>Western rattlesnake</v>
      </c>
      <c r="C37" s="23" t="n">
        <v>1.01</v>
      </c>
      <c r="D37" s="5" t="s">
        <v>580</v>
      </c>
      <c r="E37" s="5" t="s">
        <v>590</v>
      </c>
      <c r="F37" s="5"/>
      <c r="G37" s="9" t="s">
        <v>591</v>
      </c>
      <c r="H37" s="5" t="s">
        <v>592</v>
      </c>
      <c r="I37" s="5" t="s">
        <v>585</v>
      </c>
      <c r="J37" s="9"/>
      <c r="K37" s="11" t="n">
        <f aca="false">IF(OR(I37="Used",I37="Alternative"),1,0)</f>
        <v>1</v>
      </c>
      <c r="L37" s="11" t="str">
        <f aca="false">IF(I37="Used",A37,"")</f>
        <v>Crotalus oreganus</v>
      </c>
    </row>
    <row r="38" customFormat="false" ht="26.25" hidden="false" customHeight="true" outlineLevel="0" collapsed="false">
      <c r="A38" s="4" t="s">
        <v>68</v>
      </c>
      <c r="B38" s="11" t="str">
        <f aca="false">IFERROR(INDEX(Species!$B$2:$B$300,MATCH($A38,Species!$A$2:$A$300,0)),"NOT IN SPECIES")</f>
        <v>Red diamond rattlesnake</v>
      </c>
      <c r="C38" s="23" t="n">
        <v>3.7</v>
      </c>
      <c r="D38" s="5" t="s">
        <v>580</v>
      </c>
      <c r="E38" s="5" t="s">
        <v>590</v>
      </c>
      <c r="F38" s="5"/>
      <c r="G38" s="9" t="s">
        <v>591</v>
      </c>
      <c r="H38" s="5" t="s">
        <v>592</v>
      </c>
      <c r="I38" s="5" t="s">
        <v>585</v>
      </c>
      <c r="J38" s="9"/>
      <c r="K38" s="11" t="n">
        <f aca="false">IF(OR(I38="Used",I38="Alternative"),1,0)</f>
        <v>1</v>
      </c>
      <c r="L38" s="11" t="str">
        <f aca="false">IF(I38="Used",A38,"")</f>
        <v>Crotalus ruber</v>
      </c>
    </row>
    <row r="39" customFormat="false" ht="26.25" hidden="false" customHeight="true" outlineLevel="0" collapsed="false">
      <c r="A39" s="4" t="s">
        <v>32</v>
      </c>
      <c r="B39" s="11" t="str">
        <f aca="false">IFERROR(INDEX(Species!$B$2:$B$300,MATCH($A39,Species!$A$2:$A$300,0)),"NOT IN SPECIES")</f>
        <v>Mojave rattlesnake</v>
      </c>
      <c r="C39" s="23" t="n">
        <v>0.18</v>
      </c>
      <c r="D39" s="5" t="s">
        <v>580</v>
      </c>
      <c r="E39" s="5" t="s">
        <v>590</v>
      </c>
      <c r="F39" s="5"/>
      <c r="G39" s="9" t="s">
        <v>591</v>
      </c>
      <c r="H39" s="5" t="s">
        <v>592</v>
      </c>
      <c r="I39" s="5" t="s">
        <v>585</v>
      </c>
      <c r="J39" s="9"/>
      <c r="K39" s="11" t="n">
        <f aca="false">IF(OR(I39="Used",I39="Alternative"),1,0)</f>
        <v>1</v>
      </c>
      <c r="L39" s="11" t="str">
        <f aca="false">IF(I39="Used",A39,"")</f>
        <v>Crotalus scutulatus</v>
      </c>
    </row>
    <row r="40" customFormat="false" ht="26.25" hidden="false" customHeight="true" outlineLevel="0" collapsed="false">
      <c r="A40" s="4" t="s">
        <v>48</v>
      </c>
      <c r="B40" s="11" t="str">
        <f aca="false">IFERROR(INDEX(Species!$B$2:$B$300,MATCH($A40,Species!$A$2:$A$300,0)),"NOT IN SPECIES")</f>
        <v>Tiger rattlesnake</v>
      </c>
      <c r="C40" s="23" t="n">
        <v>0.06</v>
      </c>
      <c r="D40" s="5" t="s">
        <v>580</v>
      </c>
      <c r="E40" s="5" t="s">
        <v>590</v>
      </c>
      <c r="F40" s="5"/>
      <c r="G40" s="9" t="s">
        <v>591</v>
      </c>
      <c r="H40" s="5" t="s">
        <v>592</v>
      </c>
      <c r="I40" s="5" t="s">
        <v>585</v>
      </c>
      <c r="J40" s="9"/>
      <c r="K40" s="11" t="n">
        <f aca="false">IF(OR(I40="Used",I40="Alternative"),1,0)</f>
        <v>1</v>
      </c>
      <c r="L40" s="11" t="str">
        <f aca="false">IF(I40="Used",A40,"")</f>
        <v>Crotalus tigris</v>
      </c>
    </row>
    <row r="41" customFormat="false" ht="26.25" hidden="false" customHeight="true" outlineLevel="0" collapsed="false">
      <c r="A41" s="4" t="s">
        <v>94</v>
      </c>
      <c r="B41" s="11" t="str">
        <f aca="false">IFERROR(INDEX(Species!$B$2:$B$300,MATCH($A41,Species!$A$2:$A$300,0)),"NOT IN SPECIES")</f>
        <v>Small-eyed snake</v>
      </c>
      <c r="C41" s="23" t="n">
        <v>2.67</v>
      </c>
      <c r="D41" s="5" t="s">
        <v>580</v>
      </c>
      <c r="E41" s="5" t="s">
        <v>581</v>
      </c>
      <c r="F41" s="5" t="s">
        <v>582</v>
      </c>
      <c r="G41" s="9" t="s">
        <v>583</v>
      </c>
      <c r="H41" s="5" t="s">
        <v>584</v>
      </c>
      <c r="I41" s="5" t="s">
        <v>585</v>
      </c>
      <c r="J41" s="9" t="s">
        <v>586</v>
      </c>
      <c r="K41" s="11" t="n">
        <f aca="false">IF(OR(I41="Used",I41="Alternative"),1,0)</f>
        <v>1</v>
      </c>
      <c r="L41" s="11" t="str">
        <f aca="false">IF(I41="Used",A41,"")</f>
        <v>Cryptophis nigrescens</v>
      </c>
    </row>
    <row r="42" customFormat="false" ht="26.25" hidden="false" customHeight="true" outlineLevel="0" collapsed="false">
      <c r="A42" s="4" t="s">
        <v>18</v>
      </c>
      <c r="B42" s="11" t="str">
        <f aca="false">IFERROR(INDEX(Species!$B$2:$B$300,MATCH($A42,Species!$A$2:$A$300,0)),"NOT IN SPECIES")</f>
        <v>Russell's viper</v>
      </c>
      <c r="C42" s="23" t="n">
        <v>0.03</v>
      </c>
      <c r="D42" s="5" t="s">
        <v>580</v>
      </c>
      <c r="E42" s="5" t="s">
        <v>590</v>
      </c>
      <c r="F42" s="5"/>
      <c r="G42" s="9" t="s">
        <v>591</v>
      </c>
      <c r="H42" s="5" t="s">
        <v>592</v>
      </c>
      <c r="I42" s="5" t="s">
        <v>585</v>
      </c>
      <c r="J42" s="9"/>
      <c r="K42" s="11" t="n">
        <f aca="false">IF(OR(I42="Used",I42="Alternative"),1,0)</f>
        <v>1</v>
      </c>
      <c r="L42" s="11" t="str">
        <f aca="false">IF(I42="Used",A42,"")</f>
        <v>Daboia russelii</v>
      </c>
    </row>
    <row r="43" customFormat="false" ht="26.25" hidden="false" customHeight="true" outlineLevel="0" collapsed="false">
      <c r="A43" s="4" t="s">
        <v>95</v>
      </c>
      <c r="B43" s="11" t="str">
        <f aca="false">IFERROR(INDEX(Species!$B$2:$B$300,MATCH($A43,Species!$A$2:$A$300,0)),"NOT IN SPECIES")</f>
        <v>Hundred-pace pit viper</v>
      </c>
      <c r="C43" s="23" t="n">
        <v>0.38</v>
      </c>
      <c r="D43" s="5" t="s">
        <v>580</v>
      </c>
      <c r="E43" s="5" t="s">
        <v>590</v>
      </c>
      <c r="F43" s="5"/>
      <c r="G43" s="9" t="s">
        <v>591</v>
      </c>
      <c r="H43" s="5" t="s">
        <v>592</v>
      </c>
      <c r="I43" s="5" t="s">
        <v>585</v>
      </c>
      <c r="J43" s="9"/>
      <c r="K43" s="11" t="n">
        <f aca="false">IF(OR(I43="Used",I43="Alternative"),1,0)</f>
        <v>1</v>
      </c>
      <c r="L43" s="11" t="str">
        <f aca="false">IF(I43="Used",A43,"")</f>
        <v>Deinagkistrodon acutus</v>
      </c>
    </row>
    <row r="44" customFormat="false" ht="26.25" hidden="false" customHeight="true" outlineLevel="0" collapsed="false">
      <c r="A44" s="4" t="s">
        <v>96</v>
      </c>
      <c r="B44" s="11" t="str">
        <f aca="false">IFERROR(INDEX(Species!$B$2:$B$300,MATCH($A44,Species!$A$2:$A$300,0)),"NOT IN SPECIES")</f>
        <v>Olive whip snake</v>
      </c>
      <c r="C44" s="23" t="n">
        <v>714.2</v>
      </c>
      <c r="D44" s="5" t="s">
        <v>580</v>
      </c>
      <c r="E44" s="5" t="s">
        <v>581</v>
      </c>
      <c r="F44" s="5" t="s">
        <v>582</v>
      </c>
      <c r="G44" s="9" t="s">
        <v>583</v>
      </c>
      <c r="H44" s="5" t="s">
        <v>584</v>
      </c>
      <c r="I44" s="5" t="s">
        <v>585</v>
      </c>
      <c r="J44" s="9" t="s">
        <v>586</v>
      </c>
      <c r="K44" s="11" t="n">
        <f aca="false">IF(OR(I44="Used",I44="Alternative"),1,0)</f>
        <v>1</v>
      </c>
      <c r="L44" s="11" t="str">
        <f aca="false">IF(I44="Used",A44,"")</f>
        <v>Demansia olivacea</v>
      </c>
    </row>
    <row r="45" customFormat="false" ht="26.25" hidden="false" customHeight="true" outlineLevel="0" collapsed="false">
      <c r="A45" s="4" t="s">
        <v>45</v>
      </c>
      <c r="B45" s="11" t="str">
        <f aca="false">IFERROR(INDEX(Species!$B$2:$B$300,MATCH($A45,Species!$A$2:$A$300,0)),"NOT IN SPECIES")</f>
        <v>Eastern green mamba</v>
      </c>
      <c r="C45" s="23" t="n">
        <v>0.26</v>
      </c>
      <c r="D45" s="5" t="s">
        <v>580</v>
      </c>
      <c r="E45" s="5" t="s">
        <v>590</v>
      </c>
      <c r="F45" s="5"/>
      <c r="G45" s="9" t="s">
        <v>591</v>
      </c>
      <c r="H45" s="5" t="s">
        <v>592</v>
      </c>
      <c r="I45" s="5" t="s">
        <v>585</v>
      </c>
      <c r="J45" s="9"/>
      <c r="K45" s="11" t="n">
        <f aca="false">IF(OR(I45="Used",I45="Alternative"),1,0)</f>
        <v>1</v>
      </c>
      <c r="L45" s="11" t="str">
        <f aca="false">IF(I45="Used",A45,"")</f>
        <v>Dendroaspis angusticeps</v>
      </c>
    </row>
    <row r="46" customFormat="false" ht="14.25" hidden="false" customHeight="true" outlineLevel="0" collapsed="false">
      <c r="A46" s="4" t="s">
        <v>24</v>
      </c>
      <c r="B46" s="11" t="str">
        <f aca="false">IFERROR(INDEX(Species!$B$2:$B$300,MATCH($A46,Species!$A$2:$A$300,0)),"NOT IN SPECIES")</f>
        <v>Black mamba</v>
      </c>
      <c r="C46" s="23" t="n">
        <v>0.05</v>
      </c>
      <c r="D46" s="5" t="s">
        <v>580</v>
      </c>
      <c r="E46" s="5" t="s">
        <v>590</v>
      </c>
      <c r="F46" s="5"/>
      <c r="G46" s="9" t="s">
        <v>594</v>
      </c>
      <c r="H46" s="5" t="s">
        <v>595</v>
      </c>
      <c r="I46" s="5" t="s">
        <v>585</v>
      </c>
      <c r="J46" s="9" t="s">
        <v>596</v>
      </c>
      <c r="K46" s="11" t="n">
        <f aca="false">IF(OR(I46="Used",I46="Alternative"),1,0)</f>
        <v>1</v>
      </c>
      <c r="L46" s="11" t="str">
        <f aca="false">IF(I46="Used",A46,"")</f>
        <v>Dendroaspis polylepis</v>
      </c>
    </row>
    <row r="47" customFormat="false" ht="26.25" hidden="false" customHeight="true" outlineLevel="0" collapsed="false">
      <c r="A47" s="4" t="s">
        <v>24</v>
      </c>
      <c r="B47" s="11" t="str">
        <f aca="false">IFERROR(INDEX(Species!$B$2:$B$300,MATCH($A47,Species!$A$2:$A$300,0)),"NOT IN SPECIES")</f>
        <v>Black mamba</v>
      </c>
      <c r="C47" s="23" t="n">
        <v>0.32</v>
      </c>
      <c r="D47" s="5" t="s">
        <v>580</v>
      </c>
      <c r="E47" s="5" t="s">
        <v>581</v>
      </c>
      <c r="F47" s="5" t="s">
        <v>582</v>
      </c>
      <c r="G47" s="9" t="s">
        <v>583</v>
      </c>
      <c r="H47" s="5" t="s">
        <v>584</v>
      </c>
      <c r="I47" s="5" t="s">
        <v>597</v>
      </c>
      <c r="J47" s="9" t="s">
        <v>598</v>
      </c>
      <c r="K47" s="11" t="n">
        <f aca="false">IF(OR(I47="Used",I47="Alternative"),1,0)</f>
        <v>1</v>
      </c>
      <c r="L47" s="11" t="str">
        <f aca="false">IF(I47="Used",A47,"")</f>
        <v/>
      </c>
    </row>
    <row r="48" customFormat="false" ht="26.25" hidden="false" customHeight="true" outlineLevel="0" collapsed="false">
      <c r="A48" s="4" t="s">
        <v>24</v>
      </c>
      <c r="B48" s="11" t="str">
        <f aca="false">IFERROR(INDEX(Species!$B$2:$B$300,MATCH($A48,Species!$A$2:$A$300,0)),"NOT IN SPECIES")</f>
        <v>Black mamba</v>
      </c>
      <c r="C48" s="23" t="n">
        <v>0.32</v>
      </c>
      <c r="D48" s="5" t="s">
        <v>593</v>
      </c>
      <c r="E48" s="5" t="s">
        <v>581</v>
      </c>
      <c r="F48" s="5"/>
      <c r="G48" s="9" t="s">
        <v>602</v>
      </c>
      <c r="H48" s="5" t="s">
        <v>592</v>
      </c>
      <c r="I48" s="5" t="s">
        <v>603</v>
      </c>
      <c r="J48" s="9" t="s">
        <v>604</v>
      </c>
      <c r="K48" s="11" t="n">
        <f aca="false">IF(OR(I48="Used",I48="Alternative"),1,0)</f>
        <v>0</v>
      </c>
      <c r="L48" s="11" t="str">
        <f aca="false">IF(I48="Used",A48,"")</f>
        <v/>
      </c>
    </row>
    <row r="49" customFormat="false" ht="26.25" hidden="false" customHeight="true" outlineLevel="0" collapsed="false">
      <c r="A49" s="4" t="s">
        <v>58</v>
      </c>
      <c r="B49" s="11" t="str">
        <f aca="false">IFERROR(INDEX(Species!$B$2:$B$300,MATCH($A49,Species!$A$2:$A$300,0)),"NOT IN SPECIES")</f>
        <v>Western green mamba</v>
      </c>
      <c r="C49" s="23" t="n">
        <v>0.7</v>
      </c>
      <c r="D49" s="5" t="s">
        <v>599</v>
      </c>
      <c r="E49" s="5"/>
      <c r="F49" s="5"/>
      <c r="G49" s="9" t="s">
        <v>591</v>
      </c>
      <c r="H49" s="5" t="s">
        <v>592</v>
      </c>
      <c r="I49" s="5" t="s">
        <v>585</v>
      </c>
      <c r="J49" s="9" t="s">
        <v>605</v>
      </c>
      <c r="K49" s="11" t="n">
        <f aca="false">IF(OR(I49="Used",I49="Alternative"),1,0)</f>
        <v>1</v>
      </c>
      <c r="L49" s="11" t="str">
        <f aca="false">IF(I49="Used",A49,"")</f>
        <v>Dendroaspis viridis</v>
      </c>
    </row>
    <row r="50" customFormat="false" ht="26.25" hidden="false" customHeight="true" outlineLevel="0" collapsed="false">
      <c r="A50" s="4" t="s">
        <v>54</v>
      </c>
      <c r="B50" s="11" t="str">
        <f aca="false">IFERROR(INDEX(Species!$B$2:$B$300,MATCH($A50,Species!$A$2:$A$300,0)),"NOT IN SPECIES")</f>
        <v>Boomslang</v>
      </c>
      <c r="C50" s="23" t="n">
        <v>0.07</v>
      </c>
      <c r="D50" s="5" t="s">
        <v>580</v>
      </c>
      <c r="E50" s="5" t="s">
        <v>590</v>
      </c>
      <c r="F50" s="5"/>
      <c r="G50" s="9" t="s">
        <v>591</v>
      </c>
      <c r="H50" s="5" t="s">
        <v>592</v>
      </c>
      <c r="I50" s="5" t="s">
        <v>585</v>
      </c>
      <c r="J50" s="9"/>
      <c r="K50" s="11" t="n">
        <f aca="false">IF(OR(I50="Used",I50="Alternative"),1,0)</f>
        <v>1</v>
      </c>
      <c r="L50" s="11" t="str">
        <f aca="false">IF(I50="Used",A50,"")</f>
        <v>Dispholidus typus</v>
      </c>
    </row>
    <row r="51" customFormat="false" ht="26.25" hidden="false" customHeight="true" outlineLevel="0" collapsed="false">
      <c r="A51" s="4" t="s">
        <v>39</v>
      </c>
      <c r="B51" s="11" t="str">
        <f aca="false">IFERROR(INDEX(Species!$B$2:$B$300,MATCH($A51,Species!$A$2:$A$300,0)),"NOT IN SPECIES")</f>
        <v>Saw-scaled viper</v>
      </c>
      <c r="C51" s="23" t="n">
        <v>0.15</v>
      </c>
      <c r="D51" s="5" t="s">
        <v>580</v>
      </c>
      <c r="E51" s="5" t="s">
        <v>590</v>
      </c>
      <c r="F51" s="5"/>
      <c r="G51" s="9" t="s">
        <v>591</v>
      </c>
      <c r="H51" s="5" t="s">
        <v>592</v>
      </c>
      <c r="I51" s="5" t="s">
        <v>585</v>
      </c>
      <c r="J51" s="9"/>
      <c r="K51" s="11" t="n">
        <f aca="false">IF(OR(I51="Used",I51="Alternative"),1,0)</f>
        <v>1</v>
      </c>
      <c r="L51" s="11" t="str">
        <f aca="false">IF(I51="Used",A51,"")</f>
        <v>Echis carinatus</v>
      </c>
    </row>
    <row r="52" customFormat="false" ht="26.25" hidden="false" customHeight="true" outlineLevel="0" collapsed="false">
      <c r="A52" s="4" t="s">
        <v>89</v>
      </c>
      <c r="B52" s="11" t="str">
        <f aca="false">IFERROR(INDEX(Species!$B$2:$B$300,MATCH($A52,Species!$A$2:$A$300,0)),"NOT IN SPECIES")</f>
        <v>Mamushi</v>
      </c>
      <c r="C52" s="23" t="n">
        <v>1.2</v>
      </c>
      <c r="D52" s="5" t="s">
        <v>580</v>
      </c>
      <c r="E52" s="5" t="s">
        <v>590</v>
      </c>
      <c r="F52" s="5"/>
      <c r="G52" s="9" t="s">
        <v>591</v>
      </c>
      <c r="H52" s="5" t="s">
        <v>592</v>
      </c>
      <c r="I52" s="5" t="s">
        <v>585</v>
      </c>
      <c r="J52" s="9"/>
      <c r="K52" s="11" t="n">
        <f aca="false">IF(OR(I52="Used",I52="Alternative"),1,0)</f>
        <v>1</v>
      </c>
      <c r="L52" s="11" t="str">
        <f aca="false">IF(I52="Used",A52,"")</f>
        <v>Gloydius blomhoffii</v>
      </c>
    </row>
    <row r="53" customFormat="false" ht="26.25" hidden="false" customHeight="true" outlineLevel="0" collapsed="false">
      <c r="A53" s="4" t="s">
        <v>37</v>
      </c>
      <c r="B53" s="11" t="str">
        <f aca="false">IFERROR(INDEX(Species!$B$2:$B$300,MATCH($A53,Species!$A$2:$A$300,0)),"NOT IN SPECIES")</f>
        <v>Rinkhals</v>
      </c>
      <c r="C53" s="23" t="n">
        <v>0.22</v>
      </c>
      <c r="D53" s="5" t="s">
        <v>580</v>
      </c>
      <c r="E53" s="5" t="s">
        <v>590</v>
      </c>
      <c r="F53" s="5"/>
      <c r="G53" s="9" t="s">
        <v>591</v>
      </c>
      <c r="H53" s="5" t="s">
        <v>592</v>
      </c>
      <c r="I53" s="5" t="s">
        <v>585</v>
      </c>
      <c r="J53" s="9"/>
      <c r="K53" s="11" t="n">
        <f aca="false">IF(OR(I53="Used",I53="Alternative"),1,0)</f>
        <v>1</v>
      </c>
      <c r="L53" s="11" t="str">
        <f aca="false">IF(I53="Used",A53,"")</f>
        <v>Hemachatus haemachatus</v>
      </c>
    </row>
    <row r="54" customFormat="false" ht="26.25" hidden="false" customHeight="true" outlineLevel="0" collapsed="false">
      <c r="A54" s="4" t="s">
        <v>97</v>
      </c>
      <c r="B54" s="11" t="str">
        <f aca="false">IFERROR(INDEX(Species!$B$2:$B$300,MATCH($A54,Species!$A$2:$A$300,0)),"NOT IN SPECIES")</f>
        <v>Stephens' banded snake</v>
      </c>
      <c r="C54" s="23" t="n">
        <v>1.36</v>
      </c>
      <c r="D54" s="5" t="s">
        <v>580</v>
      </c>
      <c r="E54" s="5" t="s">
        <v>581</v>
      </c>
      <c r="F54" s="5" t="s">
        <v>582</v>
      </c>
      <c r="G54" s="9" t="s">
        <v>583</v>
      </c>
      <c r="H54" s="5" t="s">
        <v>584</v>
      </c>
      <c r="I54" s="5" t="s">
        <v>585</v>
      </c>
      <c r="J54" s="9" t="s">
        <v>586</v>
      </c>
      <c r="K54" s="11" t="n">
        <f aca="false">IF(OR(I54="Used",I54="Alternative"),1,0)</f>
        <v>1</v>
      </c>
      <c r="L54" s="11" t="str">
        <f aca="false">IF(I54="Used",A54,"")</f>
        <v>Hoplocephalus stephensii</v>
      </c>
    </row>
    <row r="55" customFormat="false" ht="26.25" hidden="false" customHeight="true" outlineLevel="0" collapsed="false">
      <c r="A55" s="4" t="s">
        <v>97</v>
      </c>
      <c r="B55" s="11" t="str">
        <f aca="false">IFERROR(INDEX(Species!$B$2:$B$300,MATCH($A55,Species!$A$2:$A$300,0)),"NOT IN SPECIES")</f>
        <v>Stephens' banded snake</v>
      </c>
      <c r="C55" s="23" t="n">
        <v>1.44</v>
      </c>
      <c r="D55" s="5" t="s">
        <v>580</v>
      </c>
      <c r="E55" s="5" t="s">
        <v>581</v>
      </c>
      <c r="F55" s="5" t="s">
        <v>587</v>
      </c>
      <c r="G55" s="9" t="s">
        <v>583</v>
      </c>
      <c r="H55" s="5" t="s">
        <v>584</v>
      </c>
      <c r="I55" s="5" t="s">
        <v>588</v>
      </c>
      <c r="J55" s="9" t="s">
        <v>589</v>
      </c>
      <c r="K55" s="11" t="n">
        <f aca="false">IF(OR(I55="Used",I55="Alternative"),1,0)</f>
        <v>0</v>
      </c>
      <c r="L55" s="11" t="str">
        <f aca="false">IF(I55="Used",A55,"")</f>
        <v/>
      </c>
    </row>
    <row r="56" customFormat="false" ht="39" hidden="false" customHeight="true" outlineLevel="0" collapsed="false">
      <c r="A56" s="4" t="s">
        <v>98</v>
      </c>
      <c r="B56" s="11" t="str">
        <f aca="false">IFERROR(INDEX(Species!$B$2:$B$300,MATCH($A56,Species!$A$2:$A$300,0)),"NOT IN SPECIES")</f>
        <v>Belcher's sea snake</v>
      </c>
      <c r="C56" s="23" t="n">
        <v>0.155</v>
      </c>
      <c r="D56" s="5" t="s">
        <v>606</v>
      </c>
      <c r="E56" s="5" t="s">
        <v>607</v>
      </c>
      <c r="F56" s="5"/>
      <c r="G56" s="9" t="s">
        <v>591</v>
      </c>
      <c r="H56" s="5" t="s">
        <v>592</v>
      </c>
      <c r="I56" s="5" t="s">
        <v>585</v>
      </c>
      <c r="J56" s="9" t="s">
        <v>608</v>
      </c>
      <c r="K56" s="11" t="n">
        <f aca="false">IF(OR(I56="Used",I56="Alternative"),1,0)</f>
        <v>1</v>
      </c>
      <c r="L56" s="11" t="str">
        <f aca="false">IF(I56="Used",A56,"")</f>
        <v>Hydrophis belcheri</v>
      </c>
    </row>
    <row r="57" customFormat="false" ht="26.25" hidden="false" customHeight="true" outlineLevel="0" collapsed="false">
      <c r="A57" s="4" t="s">
        <v>79</v>
      </c>
      <c r="B57" s="11" t="str">
        <f aca="false">IFERROR(INDEX(Species!$B$2:$B$300,MATCH($A57,Species!$A$2:$A$300,0)),"NOT IN SPECIES")</f>
        <v>Annulated sea snake</v>
      </c>
      <c r="C57" s="23" t="n">
        <v>0.35</v>
      </c>
      <c r="D57" s="5" t="s">
        <v>580</v>
      </c>
      <c r="E57" s="5" t="s">
        <v>590</v>
      </c>
      <c r="F57" s="5"/>
      <c r="G57" s="9" t="s">
        <v>591</v>
      </c>
      <c r="H57" s="5" t="s">
        <v>592</v>
      </c>
      <c r="I57" s="5" t="s">
        <v>585</v>
      </c>
      <c r="J57" s="9"/>
      <c r="K57" s="11" t="n">
        <f aca="false">IF(OR(I57="Used",I57="Alternative"),1,0)</f>
        <v>1</v>
      </c>
      <c r="L57" s="11" t="str">
        <f aca="false">IF(I57="Used",A57,"")</f>
        <v>Hydrophis cyanocinctus</v>
      </c>
    </row>
    <row r="58" customFormat="false" ht="26.25" hidden="false" customHeight="true" outlineLevel="0" collapsed="false">
      <c r="A58" s="4" t="s">
        <v>61</v>
      </c>
      <c r="B58" s="11" t="str">
        <f aca="false">IFERROR(INDEX(Species!$B$2:$B$300,MATCH($A58,Species!$A$2:$A$300,0)),"NOT IN SPECIES")</f>
        <v>Elegant sea snake</v>
      </c>
      <c r="C58" s="23" t="n">
        <v>0.27</v>
      </c>
      <c r="D58" s="5" t="s">
        <v>580</v>
      </c>
      <c r="E58" s="5" t="s">
        <v>590</v>
      </c>
      <c r="F58" s="5"/>
      <c r="G58" s="9" t="s">
        <v>591</v>
      </c>
      <c r="H58" s="5" t="s">
        <v>592</v>
      </c>
      <c r="I58" s="5" t="s">
        <v>585</v>
      </c>
      <c r="J58" s="9"/>
      <c r="K58" s="11" t="n">
        <f aca="false">IF(OR(I58="Used",I58="Alternative"),1,0)</f>
        <v>1</v>
      </c>
      <c r="L58" s="11" t="str">
        <f aca="false">IF(I58="Used",A58,"")</f>
        <v>Hydrophis elegans</v>
      </c>
    </row>
    <row r="59" customFormat="false" ht="26.25" hidden="false" customHeight="true" outlineLevel="0" collapsed="false">
      <c r="A59" s="4" t="s">
        <v>80</v>
      </c>
      <c r="B59" s="11" t="str">
        <f aca="false">IFERROR(INDEX(Species!$B$2:$B$300,MATCH($A59,Species!$A$2:$A$300,0)),"NOT IN SPECIES")</f>
        <v>Hardwicke's sea snake</v>
      </c>
      <c r="C59" s="23" t="n">
        <v>0.62</v>
      </c>
      <c r="D59" s="5" t="s">
        <v>580</v>
      </c>
      <c r="E59" s="5" t="s">
        <v>590</v>
      </c>
      <c r="F59" s="5"/>
      <c r="G59" s="9" t="s">
        <v>591</v>
      </c>
      <c r="H59" s="5" t="s">
        <v>592</v>
      </c>
      <c r="I59" s="5" t="s">
        <v>585</v>
      </c>
      <c r="J59" s="9"/>
      <c r="K59" s="11" t="n">
        <f aca="false">IF(OR(I59="Used",I59="Alternative"),1,0)</f>
        <v>1</v>
      </c>
      <c r="L59" s="11" t="str">
        <f aca="false">IF(I59="Used",A59,"")</f>
        <v>Hydrophis hardwickii</v>
      </c>
    </row>
    <row r="60" customFormat="false" ht="26.25" hidden="false" customHeight="true" outlineLevel="0" collapsed="false">
      <c r="A60" s="4" t="s">
        <v>99</v>
      </c>
      <c r="B60" s="11" t="str">
        <f aca="false">IFERROR(INDEX(Species!$B$2:$B$300,MATCH($A60,Species!$A$2:$A$300,0)),"NOT IN SPECIES")</f>
        <v>Peron's sea snake</v>
      </c>
      <c r="C60" s="23" t="n">
        <v>0.079</v>
      </c>
      <c r="D60" s="5" t="s">
        <v>580</v>
      </c>
      <c r="E60" s="5" t="s">
        <v>590</v>
      </c>
      <c r="F60" s="5"/>
      <c r="G60" s="9" t="s">
        <v>591</v>
      </c>
      <c r="H60" s="5" t="s">
        <v>592</v>
      </c>
      <c r="I60" s="5" t="s">
        <v>585</v>
      </c>
      <c r="J60" s="9"/>
      <c r="K60" s="11" t="n">
        <f aca="false">IF(OR(I60="Used",I60="Alternative"),1,0)</f>
        <v>1</v>
      </c>
      <c r="L60" s="11" t="str">
        <f aca="false">IF(I60="Used",A60,"")</f>
        <v>Hydrophis peronii</v>
      </c>
    </row>
    <row r="61" customFormat="false" ht="26.25" hidden="false" customHeight="true" outlineLevel="0" collapsed="false">
      <c r="A61" s="4" t="s">
        <v>63</v>
      </c>
      <c r="B61" s="11" t="str">
        <f aca="false">IFERROR(INDEX(Species!$B$2:$B$300,MATCH($A61,Species!$A$2:$A$300,0)),"NOT IN SPECIES")</f>
        <v>Yellow-bellied sea snake</v>
      </c>
      <c r="C61" s="23" t="n">
        <v>0.07</v>
      </c>
      <c r="D61" s="5" t="s">
        <v>580</v>
      </c>
      <c r="E61" s="5" t="s">
        <v>590</v>
      </c>
      <c r="F61" s="5"/>
      <c r="G61" s="9" t="s">
        <v>591</v>
      </c>
      <c r="H61" s="5" t="s">
        <v>592</v>
      </c>
      <c r="I61" s="5" t="s">
        <v>585</v>
      </c>
      <c r="J61" s="9"/>
      <c r="K61" s="11" t="n">
        <f aca="false">IF(OR(I61="Used",I61="Alternative"),1,0)</f>
        <v>1</v>
      </c>
      <c r="L61" s="11" t="str">
        <f aca="false">IF(I61="Used",A61,"")</f>
        <v>Hydrophis platurus</v>
      </c>
    </row>
    <row r="62" customFormat="false" ht="14.25" hidden="false" customHeight="true" outlineLevel="0" collapsed="false">
      <c r="A62" s="4" t="s">
        <v>23</v>
      </c>
      <c r="B62" s="11" t="str">
        <f aca="false">IFERROR(INDEX(Species!$B$2:$B$300,MATCH($A62,Species!$A$2:$A$300,0)),"NOT IN SPECIES")</f>
        <v>Hook-nosed sea snake</v>
      </c>
      <c r="C62" s="23" t="n">
        <v>0.02</v>
      </c>
      <c r="D62" s="5" t="s">
        <v>580</v>
      </c>
      <c r="E62" s="5" t="s">
        <v>590</v>
      </c>
      <c r="F62" s="5"/>
      <c r="G62" s="9" t="s">
        <v>594</v>
      </c>
      <c r="H62" s="5" t="s">
        <v>595</v>
      </c>
      <c r="I62" s="5" t="s">
        <v>597</v>
      </c>
      <c r="J62" s="9" t="s">
        <v>609</v>
      </c>
      <c r="K62" s="11" t="n">
        <f aca="false">IF(OR(I62="Used",I62="Alternative"),1,0)</f>
        <v>1</v>
      </c>
      <c r="L62" s="11" t="str">
        <f aca="false">IF(I62="Used",A62,"")</f>
        <v/>
      </c>
    </row>
    <row r="63" customFormat="false" ht="26.25" hidden="false" customHeight="true" outlineLevel="0" collapsed="false">
      <c r="A63" s="4" t="s">
        <v>23</v>
      </c>
      <c r="B63" s="11" t="str">
        <f aca="false">IFERROR(INDEX(Species!$B$2:$B$300,MATCH($A63,Species!$A$2:$A$300,0)),"NOT IN SPECIES")</f>
        <v>Hook-nosed sea snake</v>
      </c>
      <c r="C63" s="23" t="n">
        <v>0.164</v>
      </c>
      <c r="D63" s="5" t="s">
        <v>580</v>
      </c>
      <c r="E63" s="5" t="s">
        <v>581</v>
      </c>
      <c r="F63" s="5" t="s">
        <v>582</v>
      </c>
      <c r="G63" s="9" t="s">
        <v>583</v>
      </c>
      <c r="H63" s="5" t="s">
        <v>584</v>
      </c>
      <c r="I63" s="5" t="s">
        <v>585</v>
      </c>
      <c r="J63" s="9" t="s">
        <v>610</v>
      </c>
      <c r="K63" s="11" t="n">
        <f aca="false">IF(OR(I63="Used",I63="Alternative"),1,0)</f>
        <v>1</v>
      </c>
      <c r="L63" s="11" t="str">
        <f aca="false">IF(I63="Used",A63,"")</f>
        <v>Hydrophis schistosus</v>
      </c>
    </row>
    <row r="64" customFormat="false" ht="14.25" hidden="false" customHeight="true" outlineLevel="0" collapsed="false">
      <c r="A64" s="4" t="s">
        <v>23</v>
      </c>
      <c r="B64" s="11" t="str">
        <f aca="false">IFERROR(INDEX(Species!$B$2:$B$300,MATCH($A64,Species!$A$2:$A$300,0)),"NOT IN SPECIES")</f>
        <v>Hook-nosed sea snake</v>
      </c>
      <c r="C64" s="23" t="n">
        <v>0.1125</v>
      </c>
      <c r="D64" s="5" t="s">
        <v>599</v>
      </c>
      <c r="E64" s="5"/>
      <c r="F64" s="5"/>
      <c r="G64" s="9" t="s">
        <v>611</v>
      </c>
      <c r="H64" s="5" t="s">
        <v>595</v>
      </c>
      <c r="I64" s="5" t="s">
        <v>597</v>
      </c>
      <c r="J64" s="9" t="s">
        <v>612</v>
      </c>
      <c r="K64" s="11" t="n">
        <f aca="false">IF(OR(I64="Used",I64="Alternative"),1,0)</f>
        <v>1</v>
      </c>
      <c r="L64" s="11" t="str">
        <f aca="false">IF(I64="Used",A64,"")</f>
        <v/>
      </c>
    </row>
    <row r="65" customFormat="false" ht="26.25" hidden="false" customHeight="true" outlineLevel="0" collapsed="false">
      <c r="A65" s="4" t="s">
        <v>23</v>
      </c>
      <c r="B65" s="11" t="str">
        <f aca="false">IFERROR(INDEX(Species!$B$2:$B$300,MATCH($A65,Species!$A$2:$A$300,0)),"NOT IN SPECIES")</f>
        <v>Hook-nosed sea snake</v>
      </c>
      <c r="C65" s="23" t="n">
        <v>0.173</v>
      </c>
      <c r="D65" s="5" t="s">
        <v>580</v>
      </c>
      <c r="E65" s="5" t="s">
        <v>581</v>
      </c>
      <c r="F65" s="5" t="s">
        <v>587</v>
      </c>
      <c r="G65" s="9" t="s">
        <v>583</v>
      </c>
      <c r="H65" s="5" t="s">
        <v>584</v>
      </c>
      <c r="I65" s="5" t="s">
        <v>588</v>
      </c>
      <c r="J65" s="9" t="s">
        <v>589</v>
      </c>
      <c r="K65" s="11" t="n">
        <f aca="false">IF(OR(I65="Used",I65="Alternative"),1,0)</f>
        <v>0</v>
      </c>
      <c r="L65" s="11" t="str">
        <f aca="false">IF(I65="Used",A65,"")</f>
        <v/>
      </c>
    </row>
    <row r="66" customFormat="false" ht="26.25" hidden="false" customHeight="true" outlineLevel="0" collapsed="false">
      <c r="A66" s="4" t="s">
        <v>69</v>
      </c>
      <c r="B66" s="11" t="str">
        <f aca="false">IFERROR(INDEX(Species!$B$2:$B$300,MATCH($A66,Species!$A$2:$A$300,0)),"NOT IN SPECIES")</f>
        <v>Atlantic bushmaster</v>
      </c>
      <c r="C66" s="23" t="n">
        <v>4.5</v>
      </c>
      <c r="D66" s="5" t="s">
        <v>580</v>
      </c>
      <c r="E66" s="5" t="s">
        <v>590</v>
      </c>
      <c r="F66" s="5"/>
      <c r="G66" s="9" t="s">
        <v>591</v>
      </c>
      <c r="H66" s="5" t="s">
        <v>592</v>
      </c>
      <c r="I66" s="5" t="s">
        <v>585</v>
      </c>
      <c r="J66" s="9"/>
      <c r="K66" s="11" t="n">
        <f aca="false">IF(OR(I66="Used",I66="Alternative"),1,0)</f>
        <v>1</v>
      </c>
      <c r="L66" s="11" t="str">
        <f aca="false">IF(I66="Used",A66,"")</f>
        <v>Lachesis muta</v>
      </c>
    </row>
    <row r="67" customFormat="false" ht="26.25" hidden="false" customHeight="true" outlineLevel="0" collapsed="false">
      <c r="A67" s="4" t="s">
        <v>100</v>
      </c>
      <c r="B67" s="11" t="str">
        <f aca="false">IFERROR(INDEX(Species!$B$2:$B$300,MATCH($A67,Species!$A$2:$A$300,0)),"NOT IN SPECIES")</f>
        <v>Yellow-lipped sea krait</v>
      </c>
      <c r="C67" s="23" t="n">
        <v>0.4</v>
      </c>
      <c r="D67" s="5" t="s">
        <v>580</v>
      </c>
      <c r="E67" s="5" t="s">
        <v>590</v>
      </c>
      <c r="F67" s="5"/>
      <c r="G67" s="9" t="s">
        <v>594</v>
      </c>
      <c r="H67" s="5" t="s">
        <v>595</v>
      </c>
      <c r="I67" s="5" t="s">
        <v>585</v>
      </c>
      <c r="J67" s="9" t="s">
        <v>613</v>
      </c>
      <c r="K67" s="11" t="n">
        <f aca="false">IF(OR(I67="Used",I67="Alternative"),1,0)</f>
        <v>1</v>
      </c>
      <c r="L67" s="11" t="str">
        <f aca="false">IF(I67="Used",A67,"")</f>
        <v>Laticauda colubrina</v>
      </c>
    </row>
    <row r="68" customFormat="false" ht="14.25" hidden="false" customHeight="true" outlineLevel="0" collapsed="false">
      <c r="A68" s="4" t="s">
        <v>100</v>
      </c>
      <c r="B68" s="11" t="str">
        <f aca="false">IFERROR(INDEX(Species!$B$2:$B$300,MATCH($A68,Species!$A$2:$A$300,0)),"NOT IN SPECIES")</f>
        <v>Yellow-lipped sea krait</v>
      </c>
      <c r="C68" s="23" t="n">
        <v>0.16</v>
      </c>
      <c r="D68" s="5" t="s">
        <v>599</v>
      </c>
      <c r="E68" s="5"/>
      <c r="F68" s="5"/>
      <c r="G68" s="9" t="s">
        <v>614</v>
      </c>
      <c r="H68" s="5" t="s">
        <v>595</v>
      </c>
      <c r="I68" s="5" t="s">
        <v>597</v>
      </c>
      <c r="J68" s="9"/>
      <c r="K68" s="11" t="n">
        <f aca="false">IF(OR(I68="Used",I68="Alternative"),1,0)</f>
        <v>1</v>
      </c>
      <c r="L68" s="11" t="str">
        <f aca="false">IF(I68="Used",A68,"")</f>
        <v/>
      </c>
    </row>
    <row r="69" customFormat="false" ht="26.25" hidden="false" customHeight="true" outlineLevel="0" collapsed="false">
      <c r="A69" s="4" t="s">
        <v>65</v>
      </c>
      <c r="B69" s="11" t="str">
        <f aca="false">IFERROR(INDEX(Species!$B$2:$B$300,MATCH($A69,Species!$A$2:$A$300,0)),"NOT IN SPECIES")</f>
        <v>Black-banded sea krait</v>
      </c>
      <c r="C69" s="23" t="n">
        <v>0.21</v>
      </c>
      <c r="D69" s="5" t="s">
        <v>580</v>
      </c>
      <c r="E69" s="5" t="s">
        <v>590</v>
      </c>
      <c r="F69" s="5"/>
      <c r="G69" s="9" t="s">
        <v>591</v>
      </c>
      <c r="H69" s="5" t="s">
        <v>592</v>
      </c>
      <c r="I69" s="5" t="s">
        <v>585</v>
      </c>
      <c r="J69" s="9" t="s">
        <v>615</v>
      </c>
      <c r="K69" s="11" t="n">
        <f aca="false">IF(OR(I69="Used",I69="Alternative"),1,0)</f>
        <v>1</v>
      </c>
      <c r="L69" s="11" t="str">
        <f aca="false">IF(I69="Used",A69,"")</f>
        <v>Laticauda semifasciata</v>
      </c>
    </row>
    <row r="70" customFormat="false" ht="14.25" hidden="false" customHeight="true" outlineLevel="0" collapsed="false">
      <c r="A70" s="4" t="s">
        <v>65</v>
      </c>
      <c r="B70" s="11" t="str">
        <f aca="false">IFERROR(INDEX(Species!$B$2:$B$300,MATCH($A70,Species!$A$2:$A$300,0)),"NOT IN SPECIES")</f>
        <v>Black-banded sea krait</v>
      </c>
      <c r="C70" s="23" t="n">
        <v>0.111</v>
      </c>
      <c r="D70" s="5" t="s">
        <v>599</v>
      </c>
      <c r="E70" s="5"/>
      <c r="F70" s="5"/>
      <c r="G70" s="9" t="s">
        <v>616</v>
      </c>
      <c r="H70" s="5" t="s">
        <v>595</v>
      </c>
      <c r="I70" s="5" t="s">
        <v>597</v>
      </c>
      <c r="J70" s="9"/>
      <c r="K70" s="11" t="n">
        <f aca="false">IF(OR(I70="Used",I70="Alternative"),1,0)</f>
        <v>1</v>
      </c>
      <c r="L70" s="11" t="str">
        <f aca="false">IF(I70="Used",A70,"")</f>
        <v/>
      </c>
    </row>
    <row r="71" customFormat="false" ht="26.25" hidden="false" customHeight="true" outlineLevel="0" collapsed="false">
      <c r="A71" s="4" t="s">
        <v>52</v>
      </c>
      <c r="B71" s="11" t="str">
        <f aca="false">IFERROR(INDEX(Species!$B$2:$B$300,MATCH($A71,Species!$A$2:$A$300,0)),"NOT IN SPECIES")</f>
        <v>Blunt-nosed viper</v>
      </c>
      <c r="C71" s="23" t="n">
        <v>0.64</v>
      </c>
      <c r="D71" s="5" t="s">
        <v>580</v>
      </c>
      <c r="E71" s="5" t="s">
        <v>590</v>
      </c>
      <c r="F71" s="5"/>
      <c r="G71" s="9" t="s">
        <v>591</v>
      </c>
      <c r="H71" s="5" t="s">
        <v>592</v>
      </c>
      <c r="I71" s="5" t="s">
        <v>585</v>
      </c>
      <c r="J71" s="9"/>
      <c r="K71" s="11" t="n">
        <f aca="false">IF(OR(I71="Used",I71="Alternative"),1,0)</f>
        <v>1</v>
      </c>
      <c r="L71" s="11" t="str">
        <f aca="false">IF(I71="Used",A71,"")</f>
        <v>Macrovipera lebetina</v>
      </c>
    </row>
    <row r="72" customFormat="false" ht="26.25" hidden="false" customHeight="true" outlineLevel="0" collapsed="false">
      <c r="A72" s="4" t="s">
        <v>82</v>
      </c>
      <c r="B72" s="11" t="str">
        <f aca="false">IFERROR(INDEX(Species!$B$2:$B$300,MATCH($A72,Species!$A$2:$A$300,0)),"NOT IN SPECIES")</f>
        <v>Jumping pit viper</v>
      </c>
      <c r="C72" s="23" t="n">
        <v>2.4</v>
      </c>
      <c r="D72" s="5" t="s">
        <v>580</v>
      </c>
      <c r="E72" s="5" t="s">
        <v>590</v>
      </c>
      <c r="F72" s="5"/>
      <c r="G72" s="9" t="s">
        <v>591</v>
      </c>
      <c r="H72" s="5" t="s">
        <v>592</v>
      </c>
      <c r="I72" s="5" t="s">
        <v>585</v>
      </c>
      <c r="J72" s="9"/>
      <c r="K72" s="11" t="n">
        <f aca="false">IF(OR(I72="Used",I72="Alternative"),1,0)</f>
        <v>1</v>
      </c>
      <c r="L72" s="11" t="str">
        <f aca="false">IF(I72="Used",A72,"")</f>
        <v>Metlapilcoatlus nummifer</v>
      </c>
    </row>
    <row r="73" customFormat="false" ht="26.25" hidden="false" customHeight="true" outlineLevel="0" collapsed="false">
      <c r="A73" s="4" t="s">
        <v>72</v>
      </c>
      <c r="B73" s="11" t="str">
        <f aca="false">IFERROR(INDEX(Species!$B$2:$B$300,MATCH($A73,Species!$A$2:$A$300,0)),"NOT IN SPECIES")</f>
        <v>Southern coral snake</v>
      </c>
      <c r="C73" s="23" t="n">
        <v>0.63</v>
      </c>
      <c r="D73" s="5" t="s">
        <v>580</v>
      </c>
      <c r="E73" s="5" t="s">
        <v>590</v>
      </c>
      <c r="F73" s="5"/>
      <c r="G73" s="9" t="s">
        <v>591</v>
      </c>
      <c r="H73" s="5" t="s">
        <v>592</v>
      </c>
      <c r="I73" s="5" t="s">
        <v>585</v>
      </c>
      <c r="J73" s="9"/>
      <c r="K73" s="11" t="n">
        <f aca="false">IF(OR(I73="Used",I73="Alternative"),1,0)</f>
        <v>1</v>
      </c>
      <c r="L73" s="11" t="str">
        <f aca="false">IF(I73="Used",A73,"")</f>
        <v>Micrurus frontalis</v>
      </c>
    </row>
    <row r="74" customFormat="false" ht="26.25" hidden="false" customHeight="true" outlineLevel="0" collapsed="false">
      <c r="A74" s="4" t="s">
        <v>78</v>
      </c>
      <c r="B74" s="11" t="str">
        <f aca="false">IFERROR(INDEX(Species!$B$2:$B$300,MATCH($A74,Species!$A$2:$A$300,0)),"NOT IN SPECIES")</f>
        <v>Harlequin coral snake</v>
      </c>
      <c r="C74" s="23" t="n">
        <v>0.2</v>
      </c>
      <c r="D74" s="5" t="s">
        <v>580</v>
      </c>
      <c r="E74" s="5" t="s">
        <v>590</v>
      </c>
      <c r="F74" s="5"/>
      <c r="G74" s="9" t="s">
        <v>591</v>
      </c>
      <c r="H74" s="5" t="s">
        <v>592</v>
      </c>
      <c r="I74" s="5" t="s">
        <v>585</v>
      </c>
      <c r="J74" s="9"/>
      <c r="K74" s="11" t="n">
        <f aca="false">IF(OR(I74="Used",I74="Alternative"),1,0)</f>
        <v>1</v>
      </c>
      <c r="L74" s="11" t="str">
        <f aca="false">IF(I74="Used",A74,"")</f>
        <v>Micrurus fulvius</v>
      </c>
    </row>
    <row r="75" customFormat="false" ht="26.25" hidden="false" customHeight="true" outlineLevel="0" collapsed="false">
      <c r="A75" s="4" t="s">
        <v>81</v>
      </c>
      <c r="B75" s="11" t="str">
        <f aca="false">IFERROR(INDEX(Species!$B$2:$B$300,MATCH($A75,Species!$A$2:$A$300,0)),"NOT IN SPECIES")</f>
        <v>Central American coral snake</v>
      </c>
      <c r="C75" s="23" t="n">
        <v>0.4</v>
      </c>
      <c r="D75" s="5" t="s">
        <v>580</v>
      </c>
      <c r="E75" s="5" t="s">
        <v>590</v>
      </c>
      <c r="F75" s="5"/>
      <c r="G75" s="9" t="s">
        <v>591</v>
      </c>
      <c r="H75" s="5" t="s">
        <v>592</v>
      </c>
      <c r="I75" s="5" t="s">
        <v>585</v>
      </c>
      <c r="J75" s="9"/>
      <c r="K75" s="11" t="n">
        <f aca="false">IF(OR(I75="Used",I75="Alternative"),1,0)</f>
        <v>1</v>
      </c>
      <c r="L75" s="11" t="str">
        <f aca="false">IF(I75="Used",A75,"")</f>
        <v>Micrurus nigrocinctus</v>
      </c>
    </row>
    <row r="76" customFormat="false" ht="26.25" hidden="false" customHeight="true" outlineLevel="0" collapsed="false">
      <c r="A76" s="4" t="s">
        <v>59</v>
      </c>
      <c r="B76" s="11" t="str">
        <f aca="false">IFERROR(INDEX(Species!$B$2:$B$300,MATCH($A76,Species!$A$2:$A$300,0)),"NOT IN SPECIES")</f>
        <v>Ottoman viper</v>
      </c>
      <c r="C76" s="23" t="n">
        <v>0.2</v>
      </c>
      <c r="D76" s="5" t="s">
        <v>580</v>
      </c>
      <c r="E76" s="5" t="s">
        <v>590</v>
      </c>
      <c r="F76" s="5"/>
      <c r="G76" s="9" t="s">
        <v>591</v>
      </c>
      <c r="H76" s="5" t="s">
        <v>592</v>
      </c>
      <c r="I76" s="5" t="s">
        <v>585</v>
      </c>
      <c r="J76" s="9"/>
      <c r="K76" s="11" t="n">
        <f aca="false">IF(OR(I76="Used",I76="Alternative"),1,0)</f>
        <v>1</v>
      </c>
      <c r="L76" s="11" t="str">
        <f aca="false">IF(I76="Used",A76,"")</f>
        <v>Montivipera xanthina</v>
      </c>
    </row>
    <row r="77" customFormat="false" ht="26.25" hidden="false" customHeight="true" outlineLevel="0" collapsed="false">
      <c r="A77" s="4" t="s">
        <v>101</v>
      </c>
      <c r="B77" s="11" t="str">
        <f aca="false">IFERROR(INDEX(Species!$B$2:$B$300,MATCH($A77,Species!$A$2:$A$300,0)),"NOT IN SPECIES")</f>
        <v>Congo water cobra</v>
      </c>
      <c r="C77" s="23" t="n">
        <v>0.12</v>
      </c>
      <c r="D77" s="5" t="s">
        <v>617</v>
      </c>
      <c r="E77" s="5" t="s">
        <v>581</v>
      </c>
      <c r="F77" s="5"/>
      <c r="G77" s="9" t="s">
        <v>591</v>
      </c>
      <c r="H77" s="5" t="s">
        <v>592</v>
      </c>
      <c r="I77" s="5" t="s">
        <v>585</v>
      </c>
      <c r="J77" s="9" t="s">
        <v>618</v>
      </c>
      <c r="K77" s="11" t="n">
        <f aca="false">IF(OR(I77="Used",I77="Alternative"),1,0)</f>
        <v>1</v>
      </c>
      <c r="L77" s="11" t="str">
        <f aca="false">IF(I77="Used",A77,"")</f>
        <v>Naja annulata</v>
      </c>
    </row>
    <row r="78" customFormat="false" ht="26.25" hidden="false" customHeight="true" outlineLevel="0" collapsed="false">
      <c r="A78" s="4" t="s">
        <v>46</v>
      </c>
      <c r="B78" s="11" t="str">
        <f aca="false">IFERROR(INDEX(Species!$B$2:$B$300,MATCH($A78,Species!$A$2:$A$300,0)),"NOT IN SPECIES")</f>
        <v>Chinese cobra</v>
      </c>
      <c r="C78" s="23" t="n">
        <v>0.6</v>
      </c>
      <c r="D78" s="5" t="s">
        <v>580</v>
      </c>
      <c r="E78" s="5" t="s">
        <v>590</v>
      </c>
      <c r="F78" s="5"/>
      <c r="G78" s="9" t="s">
        <v>591</v>
      </c>
      <c r="H78" s="5" t="s">
        <v>592</v>
      </c>
      <c r="I78" s="5" t="s">
        <v>585</v>
      </c>
      <c r="J78" s="9" t="s">
        <v>619</v>
      </c>
      <c r="K78" s="11" t="n">
        <f aca="false">IF(OR(I78="Used",I78="Alternative"),1,0)</f>
        <v>1</v>
      </c>
      <c r="L78" s="11" t="str">
        <f aca="false">IF(I78="Used",A78,"")</f>
        <v>Naja atra</v>
      </c>
    </row>
    <row r="79" customFormat="false" ht="26.25" hidden="false" customHeight="true" outlineLevel="0" collapsed="false">
      <c r="A79" s="4" t="s">
        <v>29</v>
      </c>
      <c r="B79" s="11" t="str">
        <f aca="false">IFERROR(INDEX(Species!$B$2:$B$300,MATCH($A79,Species!$A$2:$A$300,0)),"NOT IN SPECIES")</f>
        <v>Egyptian cobra</v>
      </c>
      <c r="C79" s="23" t="n">
        <v>0.19</v>
      </c>
      <c r="D79" s="5" t="s">
        <v>580</v>
      </c>
      <c r="E79" s="5" t="s">
        <v>590</v>
      </c>
      <c r="F79" s="5"/>
      <c r="G79" s="9" t="s">
        <v>591</v>
      </c>
      <c r="H79" s="5" t="s">
        <v>592</v>
      </c>
      <c r="I79" s="5" t="s">
        <v>585</v>
      </c>
      <c r="J79" s="9"/>
      <c r="K79" s="11" t="n">
        <f aca="false">IF(OR(I79="Used",I79="Alternative"),1,0)</f>
        <v>1</v>
      </c>
      <c r="L79" s="11" t="str">
        <f aca="false">IF(I79="Used",A79,"")</f>
        <v>Naja haje</v>
      </c>
    </row>
    <row r="80" customFormat="false" ht="26.25" hidden="false" customHeight="true" outlineLevel="0" collapsed="false">
      <c r="A80" s="4" t="s">
        <v>26</v>
      </c>
      <c r="B80" s="11" t="str">
        <f aca="false">IFERROR(INDEX(Species!$B$2:$B$300,MATCH($A80,Species!$A$2:$A$300,0)),"NOT IN SPECIES")</f>
        <v>Monocled cobra</v>
      </c>
      <c r="C80" s="23" t="n">
        <v>0.225</v>
      </c>
      <c r="D80" s="5" t="s">
        <v>617</v>
      </c>
      <c r="E80" s="5" t="s">
        <v>607</v>
      </c>
      <c r="F80" s="5"/>
      <c r="G80" s="9" t="s">
        <v>591</v>
      </c>
      <c r="H80" s="5" t="s">
        <v>592</v>
      </c>
      <c r="I80" s="5" t="s">
        <v>585</v>
      </c>
      <c r="J80" s="9" t="s">
        <v>620</v>
      </c>
      <c r="K80" s="11" t="n">
        <f aca="false">IF(OR(I80="Used",I80="Alternative"),1,0)</f>
        <v>1</v>
      </c>
      <c r="L80" s="11" t="str">
        <f aca="false">IF(I80="Used",A80,"")</f>
        <v>Naja kaouthia</v>
      </c>
    </row>
    <row r="81" customFormat="false" ht="26.25" hidden="false" customHeight="true" outlineLevel="0" collapsed="false">
      <c r="A81" s="4" t="s">
        <v>26</v>
      </c>
      <c r="B81" s="11" t="str">
        <f aca="false">IFERROR(INDEX(Species!$B$2:$B$300,MATCH($A81,Species!$A$2:$A$300,0)),"NOT IN SPECIES")</f>
        <v>Monocled cobra</v>
      </c>
      <c r="C81" s="23" t="n">
        <v>0.373</v>
      </c>
      <c r="D81" s="5" t="s">
        <v>593</v>
      </c>
      <c r="E81" s="5" t="s">
        <v>581</v>
      </c>
      <c r="F81" s="5"/>
      <c r="G81" s="9" t="s">
        <v>591</v>
      </c>
      <c r="H81" s="5" t="s">
        <v>592</v>
      </c>
      <c r="I81" s="5" t="s">
        <v>603</v>
      </c>
      <c r="J81" s="9"/>
      <c r="K81" s="11" t="n">
        <f aca="false">IF(OR(I81="Used",I81="Alternative"),1,0)</f>
        <v>0</v>
      </c>
      <c r="L81" s="11" t="str">
        <f aca="false">IF(I81="Used",A81,"")</f>
        <v/>
      </c>
    </row>
    <row r="82" customFormat="false" ht="26.25" hidden="false" customHeight="true" outlineLevel="0" collapsed="false">
      <c r="A82" s="4" t="s">
        <v>19</v>
      </c>
      <c r="B82" s="11" t="str">
        <f aca="false">IFERROR(INDEX(Species!$B$2:$B$300,MATCH($A82,Species!$A$2:$A$300,0)),"NOT IN SPECIES")</f>
        <v>Forest cobra</v>
      </c>
      <c r="C82" s="23" t="n">
        <v>0.12</v>
      </c>
      <c r="D82" s="5" t="s">
        <v>580</v>
      </c>
      <c r="E82" s="5" t="s">
        <v>590</v>
      </c>
      <c r="F82" s="5"/>
      <c r="G82" s="9" t="s">
        <v>591</v>
      </c>
      <c r="H82" s="5" t="s">
        <v>592</v>
      </c>
      <c r="I82" s="5" t="s">
        <v>585</v>
      </c>
      <c r="J82" s="9"/>
      <c r="K82" s="11" t="n">
        <f aca="false">IF(OR(I82="Used",I82="Alternative"),1,0)</f>
        <v>1</v>
      </c>
      <c r="L82" s="11" t="str">
        <f aca="false">IF(I82="Used",A82,"")</f>
        <v>Naja melanoleuca</v>
      </c>
    </row>
    <row r="83" customFormat="false" ht="26.25" hidden="false" customHeight="true" outlineLevel="0" collapsed="false">
      <c r="A83" s="4" t="s">
        <v>19</v>
      </c>
      <c r="B83" s="11" t="str">
        <f aca="false">IFERROR(INDEX(Species!$B$2:$B$300,MATCH($A83,Species!$A$2:$A$300,0)),"NOT IN SPECIES")</f>
        <v>Forest cobra</v>
      </c>
      <c r="C83" s="23" t="n">
        <v>0.225</v>
      </c>
      <c r="D83" s="5" t="s">
        <v>580</v>
      </c>
      <c r="E83" s="5" t="s">
        <v>581</v>
      </c>
      <c r="F83" s="5"/>
      <c r="G83" s="9" t="s">
        <v>621</v>
      </c>
      <c r="H83" s="5" t="s">
        <v>592</v>
      </c>
      <c r="I83" s="5" t="s">
        <v>597</v>
      </c>
      <c r="J83" s="9" t="s">
        <v>622</v>
      </c>
      <c r="K83" s="11" t="n">
        <f aca="false">IF(OR(I83="Used",I83="Alternative"),1,0)</f>
        <v>1</v>
      </c>
      <c r="L83" s="11" t="str">
        <f aca="false">IF(I83="Used",A83,"")</f>
        <v/>
      </c>
    </row>
    <row r="84" customFormat="false" ht="14.25" hidden="false" customHeight="true" outlineLevel="0" collapsed="false">
      <c r="A84" s="4" t="s">
        <v>42</v>
      </c>
      <c r="B84" s="11" t="str">
        <f aca="false">IFERROR(INDEX(Species!$B$2:$B$300,MATCH($A84,Species!$A$2:$A$300,0)),"NOT IN SPECIES")</f>
        <v>Indian cobra</v>
      </c>
      <c r="C84" s="23" t="n">
        <v>0.45</v>
      </c>
      <c r="D84" s="5" t="s">
        <v>580</v>
      </c>
      <c r="E84" s="5" t="s">
        <v>590</v>
      </c>
      <c r="F84" s="5"/>
      <c r="G84" s="9" t="s">
        <v>594</v>
      </c>
      <c r="H84" s="5" t="s">
        <v>595</v>
      </c>
      <c r="I84" s="5" t="s">
        <v>585</v>
      </c>
      <c r="J84" s="9" t="s">
        <v>596</v>
      </c>
      <c r="K84" s="11" t="n">
        <f aca="false">IF(OR(I84="Used",I84="Alternative"),1,0)</f>
        <v>1</v>
      </c>
      <c r="L84" s="11" t="str">
        <f aca="false">IF(I84="Used",A84,"")</f>
        <v>Naja naja</v>
      </c>
    </row>
    <row r="85" customFormat="false" ht="26.25" hidden="false" customHeight="true" outlineLevel="0" collapsed="false">
      <c r="A85" s="4" t="s">
        <v>42</v>
      </c>
      <c r="B85" s="11" t="str">
        <f aca="false">IFERROR(INDEX(Species!$B$2:$B$300,MATCH($A85,Species!$A$2:$A$300,0)),"NOT IN SPECIES")</f>
        <v>Indian cobra</v>
      </c>
      <c r="C85" s="23" t="n">
        <v>0.565</v>
      </c>
      <c r="D85" s="5" t="s">
        <v>580</v>
      </c>
      <c r="E85" s="5" t="s">
        <v>581</v>
      </c>
      <c r="F85" s="5" t="s">
        <v>582</v>
      </c>
      <c r="G85" s="9" t="s">
        <v>583</v>
      </c>
      <c r="H85" s="5" t="s">
        <v>584</v>
      </c>
      <c r="I85" s="5" t="s">
        <v>597</v>
      </c>
      <c r="J85" s="9" t="s">
        <v>598</v>
      </c>
      <c r="K85" s="11" t="n">
        <f aca="false">IF(OR(I85="Used",I85="Alternative"),1,0)</f>
        <v>1</v>
      </c>
      <c r="L85" s="11" t="str">
        <f aca="false">IF(I85="Used",A85,"")</f>
        <v/>
      </c>
    </row>
    <row r="86" customFormat="false" ht="26.25" hidden="false" customHeight="true" outlineLevel="0" collapsed="false">
      <c r="A86" s="4" t="s">
        <v>42</v>
      </c>
      <c r="B86" s="11" t="str">
        <f aca="false">IFERROR(INDEX(Species!$B$2:$B$300,MATCH($A86,Species!$A$2:$A$300,0)),"NOT IN SPECIES")</f>
        <v>Indian cobra</v>
      </c>
      <c r="C86" s="23" t="n">
        <v>0.5</v>
      </c>
      <c r="D86" s="5" t="s">
        <v>580</v>
      </c>
      <c r="E86" s="5" t="s">
        <v>581</v>
      </c>
      <c r="F86" s="5" t="s">
        <v>587</v>
      </c>
      <c r="G86" s="9" t="s">
        <v>583</v>
      </c>
      <c r="H86" s="5" t="s">
        <v>584</v>
      </c>
      <c r="I86" s="5" t="s">
        <v>588</v>
      </c>
      <c r="J86" s="9" t="s">
        <v>589</v>
      </c>
      <c r="K86" s="11" t="n">
        <f aca="false">IF(OR(I86="Used",I86="Alternative"),1,0)</f>
        <v>0</v>
      </c>
      <c r="L86" s="11" t="str">
        <f aca="false">IF(I86="Used",A86,"")</f>
        <v/>
      </c>
    </row>
    <row r="87" customFormat="false" ht="26.25" hidden="false" customHeight="true" outlineLevel="0" collapsed="false">
      <c r="A87" s="4" t="s">
        <v>31</v>
      </c>
      <c r="B87" s="11" t="str">
        <f aca="false">IFERROR(INDEX(Species!$B$2:$B$300,MATCH($A87,Species!$A$2:$A$300,0)),"NOT IN SPECIES")</f>
        <v>Black-necked spitting cobra</v>
      </c>
      <c r="C87" s="23" t="n">
        <v>0.23</v>
      </c>
      <c r="D87" s="5" t="s">
        <v>580</v>
      </c>
      <c r="E87" s="5" t="s">
        <v>590</v>
      </c>
      <c r="F87" s="5"/>
      <c r="G87" s="9" t="s">
        <v>591</v>
      </c>
      <c r="H87" s="5" t="s">
        <v>592</v>
      </c>
      <c r="I87" s="5" t="s">
        <v>585</v>
      </c>
      <c r="J87" s="9"/>
      <c r="K87" s="11" t="n">
        <f aca="false">IF(OR(I87="Used",I87="Alternative"),1,0)</f>
        <v>1</v>
      </c>
      <c r="L87" s="11" t="str">
        <f aca="false">IF(I87="Used",A87,"")</f>
        <v>Naja nigricollis</v>
      </c>
    </row>
    <row r="88" customFormat="false" ht="26.25" hidden="false" customHeight="true" outlineLevel="0" collapsed="false">
      <c r="A88" s="4" t="s">
        <v>38</v>
      </c>
      <c r="B88" s="11" t="str">
        <f aca="false">IFERROR(INDEX(Species!$B$2:$B$300,MATCH($A88,Species!$A$2:$A$300,0)),"NOT IN SPECIES")</f>
        <v>Cape cobra</v>
      </c>
      <c r="C88" s="23" t="n">
        <v>0.4</v>
      </c>
      <c r="D88" s="5" t="s">
        <v>580</v>
      </c>
      <c r="E88" s="5" t="s">
        <v>590</v>
      </c>
      <c r="F88" s="5"/>
      <c r="G88" s="9" t="s">
        <v>591</v>
      </c>
      <c r="H88" s="5" t="s">
        <v>592</v>
      </c>
      <c r="I88" s="5" t="s">
        <v>585</v>
      </c>
      <c r="J88" s="9"/>
      <c r="K88" s="11" t="n">
        <f aca="false">IF(OR(I88="Used",I88="Alternative"),1,0)</f>
        <v>1</v>
      </c>
      <c r="L88" s="11" t="str">
        <f aca="false">IF(I88="Used",A88,"")</f>
        <v>Naja nivea</v>
      </c>
    </row>
    <row r="89" customFormat="false" ht="26.25" hidden="false" customHeight="true" outlineLevel="0" collapsed="false">
      <c r="A89" s="4" t="s">
        <v>30</v>
      </c>
      <c r="B89" s="11" t="str">
        <f aca="false">IFERROR(INDEX(Species!$B$2:$B$300,MATCH($A89,Species!$A$2:$A$300,0)),"NOT IN SPECIES")</f>
        <v>Caspian cobra</v>
      </c>
      <c r="C89" s="23" t="n">
        <v>0.1</v>
      </c>
      <c r="D89" s="5" t="s">
        <v>580</v>
      </c>
      <c r="E89" s="5" t="s">
        <v>590</v>
      </c>
      <c r="F89" s="5"/>
      <c r="G89" s="9" t="s">
        <v>591</v>
      </c>
      <c r="H89" s="5" t="s">
        <v>592</v>
      </c>
      <c r="I89" s="5" t="s">
        <v>585</v>
      </c>
      <c r="J89" s="9"/>
      <c r="K89" s="11" t="n">
        <f aca="false">IF(OR(I89="Used",I89="Alternative"),1,0)</f>
        <v>1</v>
      </c>
      <c r="L89" s="11" t="str">
        <f aca="false">IF(I89="Used",A89,"")</f>
        <v>Naja oxiana</v>
      </c>
    </row>
    <row r="90" customFormat="false" ht="26.25" hidden="false" customHeight="true" outlineLevel="0" collapsed="false">
      <c r="A90" s="4" t="s">
        <v>33</v>
      </c>
      <c r="B90" s="11" t="str">
        <f aca="false">IFERROR(INDEX(Species!$B$2:$B$300,MATCH($A90,Species!$A$2:$A$300,0)),"NOT IN SPECIES")</f>
        <v>Philippine cobra</v>
      </c>
      <c r="C90" s="23" t="n">
        <v>0.14</v>
      </c>
      <c r="D90" s="5" t="s">
        <v>580</v>
      </c>
      <c r="E90" s="5" t="s">
        <v>590</v>
      </c>
      <c r="F90" s="5"/>
      <c r="G90" s="9" t="s">
        <v>591</v>
      </c>
      <c r="H90" s="5" t="s">
        <v>592</v>
      </c>
      <c r="I90" s="5" t="s">
        <v>585</v>
      </c>
      <c r="J90" s="9"/>
      <c r="K90" s="11" t="n">
        <f aca="false">IF(OR(I90="Used",I90="Alternative"),1,0)</f>
        <v>1</v>
      </c>
      <c r="L90" s="11" t="str">
        <f aca="false">IF(I90="Used",A90,"")</f>
        <v>Naja philippinensis</v>
      </c>
    </row>
    <row r="91" customFormat="false" ht="26.25" hidden="false" customHeight="true" outlineLevel="0" collapsed="false">
      <c r="A91" s="4" t="s">
        <v>27</v>
      </c>
      <c r="B91" s="11" t="str">
        <f aca="false">IFERROR(INDEX(Species!$B$2:$B$300,MATCH($A91,Species!$A$2:$A$300,0)),"NOT IN SPECIES")</f>
        <v>Tiger snake</v>
      </c>
      <c r="C91" s="23" t="n">
        <v>0.118</v>
      </c>
      <c r="D91" s="5" t="s">
        <v>580</v>
      </c>
      <c r="E91" s="5" t="s">
        <v>581</v>
      </c>
      <c r="F91" s="5" t="s">
        <v>582</v>
      </c>
      <c r="G91" s="9" t="s">
        <v>583</v>
      </c>
      <c r="H91" s="5" t="s">
        <v>584</v>
      </c>
      <c r="I91" s="5" t="s">
        <v>585</v>
      </c>
      <c r="J91" s="9" t="s">
        <v>586</v>
      </c>
      <c r="K91" s="11" t="n">
        <f aca="false">IF(OR(I91="Used",I91="Alternative"),1,0)</f>
        <v>1</v>
      </c>
      <c r="L91" s="11" t="str">
        <f aca="false">IF(I91="Used",A91,"")</f>
        <v>Notechis scutatus</v>
      </c>
    </row>
    <row r="92" customFormat="false" ht="26.25" hidden="false" customHeight="true" outlineLevel="0" collapsed="false">
      <c r="A92" s="4" t="s">
        <v>27</v>
      </c>
      <c r="B92" s="11" t="str">
        <f aca="false">IFERROR(INDEX(Species!$B$2:$B$300,MATCH($A92,Species!$A$2:$A$300,0)),"NOT IN SPECIES")</f>
        <v>Tiger snake</v>
      </c>
      <c r="C92" s="23" t="n">
        <v>0.118</v>
      </c>
      <c r="D92" s="5" t="s">
        <v>580</v>
      </c>
      <c r="E92" s="5" t="s">
        <v>581</v>
      </c>
      <c r="F92" s="5" t="s">
        <v>587</v>
      </c>
      <c r="G92" s="9" t="s">
        <v>583</v>
      </c>
      <c r="H92" s="5" t="s">
        <v>584</v>
      </c>
      <c r="I92" s="5" t="s">
        <v>588</v>
      </c>
      <c r="J92" s="9" t="s">
        <v>589</v>
      </c>
      <c r="K92" s="11" t="n">
        <f aca="false">IF(OR(I92="Used",I92="Alternative"),1,0)</f>
        <v>0</v>
      </c>
      <c r="L92" s="11" t="str">
        <f aca="false">IF(I92="Used",A92,"")</f>
        <v/>
      </c>
    </row>
    <row r="93" customFormat="false" ht="14.25" hidden="false" customHeight="true" outlineLevel="0" collapsed="false">
      <c r="A93" s="4" t="s">
        <v>44</v>
      </c>
      <c r="B93" s="11" t="str">
        <f aca="false">IFERROR(INDEX(Species!$B$2:$B$300,MATCH($A93,Species!$A$2:$A$300,0)),"NOT IN SPECIES")</f>
        <v>King cobra</v>
      </c>
      <c r="C93" s="23" t="n">
        <v>0.9</v>
      </c>
      <c r="D93" s="5" t="s">
        <v>580</v>
      </c>
      <c r="E93" s="5" t="s">
        <v>590</v>
      </c>
      <c r="F93" s="5"/>
      <c r="G93" s="9" t="s">
        <v>594</v>
      </c>
      <c r="H93" s="5" t="s">
        <v>595</v>
      </c>
      <c r="I93" s="5" t="s">
        <v>585</v>
      </c>
      <c r="J93" s="9" t="s">
        <v>596</v>
      </c>
      <c r="K93" s="11" t="n">
        <f aca="false">IF(OR(I93="Used",I93="Alternative"),1,0)</f>
        <v>1</v>
      </c>
      <c r="L93" s="11" t="str">
        <f aca="false">IF(I93="Used",A93,"")</f>
        <v>Ophiophagus hannah</v>
      </c>
    </row>
    <row r="94" customFormat="false" ht="26.25" hidden="false" customHeight="true" outlineLevel="0" collapsed="false">
      <c r="A94" s="4" t="s">
        <v>44</v>
      </c>
      <c r="B94" s="11" t="str">
        <f aca="false">IFERROR(INDEX(Species!$B$2:$B$300,MATCH($A94,Species!$A$2:$A$300,0)),"NOT IN SPECIES")</f>
        <v>King cobra</v>
      </c>
      <c r="C94" s="23" t="n">
        <v>1.8</v>
      </c>
      <c r="D94" s="5" t="s">
        <v>580</v>
      </c>
      <c r="E94" s="5" t="s">
        <v>581</v>
      </c>
      <c r="F94" s="5" t="s">
        <v>582</v>
      </c>
      <c r="G94" s="9" t="s">
        <v>583</v>
      </c>
      <c r="H94" s="5" t="s">
        <v>584</v>
      </c>
      <c r="I94" s="5" t="s">
        <v>597</v>
      </c>
      <c r="J94" s="9" t="s">
        <v>598</v>
      </c>
      <c r="K94" s="11" t="n">
        <f aca="false">IF(OR(I94="Used",I94="Alternative"),1,0)</f>
        <v>1</v>
      </c>
      <c r="L94" s="11" t="str">
        <f aca="false">IF(I94="Used",A94,"")</f>
        <v/>
      </c>
    </row>
    <row r="95" customFormat="false" ht="26.25" hidden="false" customHeight="true" outlineLevel="0" collapsed="false">
      <c r="A95" s="4" t="s">
        <v>44</v>
      </c>
      <c r="B95" s="11" t="str">
        <f aca="false">IFERROR(INDEX(Species!$B$2:$B$300,MATCH($A95,Species!$A$2:$A$300,0)),"NOT IN SPECIES")</f>
        <v>King cobra</v>
      </c>
      <c r="C95" s="23" t="n">
        <v>1.91</v>
      </c>
      <c r="D95" s="5" t="s">
        <v>580</v>
      </c>
      <c r="E95" s="5" t="s">
        <v>581</v>
      </c>
      <c r="F95" s="5" t="s">
        <v>587</v>
      </c>
      <c r="G95" s="9" t="s">
        <v>583</v>
      </c>
      <c r="H95" s="5" t="s">
        <v>584</v>
      </c>
      <c r="I95" s="5" t="s">
        <v>588</v>
      </c>
      <c r="J95" s="9" t="s">
        <v>589</v>
      </c>
      <c r="K95" s="11" t="n">
        <f aca="false">IF(OR(I95="Used",I95="Alternative"),1,0)</f>
        <v>0</v>
      </c>
      <c r="L95" s="11" t="str">
        <f aca="false">IF(I95="Used",A95,"")</f>
        <v/>
      </c>
    </row>
    <row r="96" customFormat="false" ht="26.25" hidden="false" customHeight="true" outlineLevel="0" collapsed="false">
      <c r="A96" s="4" t="s">
        <v>20</v>
      </c>
      <c r="B96" s="11" t="str">
        <f aca="false">IFERROR(INDEX(Species!$B$2:$B$300,MATCH($A96,Species!$A$2:$A$300,0)),"NOT IN SPECIES")</f>
        <v>Inland taipan</v>
      </c>
      <c r="C96" s="23" t="n">
        <v>0.025</v>
      </c>
      <c r="D96" s="5" t="s">
        <v>580</v>
      </c>
      <c r="E96" s="5" t="s">
        <v>581</v>
      </c>
      <c r="F96" s="5" t="s">
        <v>582</v>
      </c>
      <c r="G96" s="9" t="s">
        <v>583</v>
      </c>
      <c r="H96" s="5" t="s">
        <v>584</v>
      </c>
      <c r="I96" s="5" t="s">
        <v>585</v>
      </c>
      <c r="J96" s="9" t="s">
        <v>586</v>
      </c>
      <c r="K96" s="11" t="n">
        <f aca="false">IF(OR(I96="Used",I96="Alternative"),1,0)</f>
        <v>1</v>
      </c>
      <c r="L96" s="11" t="str">
        <f aca="false">IF(I96="Used",A96,"")</f>
        <v>Oxyuranus microlepidotus</v>
      </c>
    </row>
    <row r="97" customFormat="false" ht="26.25" hidden="false" customHeight="true" outlineLevel="0" collapsed="false">
      <c r="A97" s="4" t="s">
        <v>20</v>
      </c>
      <c r="B97" s="11" t="str">
        <f aca="false">IFERROR(INDEX(Species!$B$2:$B$300,MATCH($A97,Species!$A$2:$A$300,0)),"NOT IN SPECIES")</f>
        <v>Inland taipan</v>
      </c>
      <c r="C97" s="23" t="n">
        <v>0.01</v>
      </c>
      <c r="D97" s="5" t="s">
        <v>580</v>
      </c>
      <c r="E97" s="5" t="s">
        <v>581</v>
      </c>
      <c r="F97" s="5" t="s">
        <v>587</v>
      </c>
      <c r="G97" s="9" t="s">
        <v>583</v>
      </c>
      <c r="H97" s="5" t="s">
        <v>584</v>
      </c>
      <c r="I97" s="5" t="s">
        <v>588</v>
      </c>
      <c r="J97" s="9" t="s">
        <v>589</v>
      </c>
      <c r="K97" s="11" t="n">
        <f aca="false">IF(OR(I97="Used",I97="Alternative"),1,0)</f>
        <v>0</v>
      </c>
      <c r="L97" s="11" t="str">
        <f aca="false">IF(I97="Used",A97,"")</f>
        <v/>
      </c>
    </row>
    <row r="98" customFormat="false" ht="26.25" hidden="false" customHeight="true" outlineLevel="0" collapsed="false">
      <c r="A98" s="4" t="s">
        <v>21</v>
      </c>
      <c r="B98" s="11" t="str">
        <f aca="false">IFERROR(INDEX(Species!$B$2:$B$300,MATCH($A98,Species!$A$2:$A$300,0)),"NOT IN SPECIES")</f>
        <v>Coastal taipan</v>
      </c>
      <c r="C98" s="23" t="n">
        <v>0.099</v>
      </c>
      <c r="D98" s="5" t="s">
        <v>580</v>
      </c>
      <c r="E98" s="5" t="s">
        <v>581</v>
      </c>
      <c r="F98" s="5" t="s">
        <v>582</v>
      </c>
      <c r="G98" s="9" t="s">
        <v>583</v>
      </c>
      <c r="H98" s="5" t="s">
        <v>584</v>
      </c>
      <c r="I98" s="5" t="s">
        <v>585</v>
      </c>
      <c r="J98" s="9" t="s">
        <v>586</v>
      </c>
      <c r="K98" s="11" t="n">
        <f aca="false">IF(OR(I98="Used",I98="Alternative"),1,0)</f>
        <v>1</v>
      </c>
      <c r="L98" s="11" t="str">
        <f aca="false">IF(I98="Used",A98,"")</f>
        <v>Oxyuranus scutellatus</v>
      </c>
    </row>
    <row r="99" customFormat="false" ht="26.25" hidden="false" customHeight="true" outlineLevel="0" collapsed="false">
      <c r="A99" s="4" t="s">
        <v>21</v>
      </c>
      <c r="B99" s="11" t="str">
        <f aca="false">IFERROR(INDEX(Species!$B$2:$B$300,MATCH($A99,Species!$A$2:$A$300,0)),"NOT IN SPECIES")</f>
        <v>Coastal taipan</v>
      </c>
      <c r="C99" s="23" t="n">
        <v>0.064</v>
      </c>
      <c r="D99" s="5" t="s">
        <v>580</v>
      </c>
      <c r="E99" s="5" t="s">
        <v>581</v>
      </c>
      <c r="F99" s="5" t="s">
        <v>587</v>
      </c>
      <c r="G99" s="9" t="s">
        <v>583</v>
      </c>
      <c r="H99" s="5" t="s">
        <v>584</v>
      </c>
      <c r="I99" s="5" t="s">
        <v>588</v>
      </c>
      <c r="J99" s="9" t="s">
        <v>589</v>
      </c>
      <c r="K99" s="11" t="n">
        <f aca="false">IF(OR(I99="Used",I99="Alternative"),1,0)</f>
        <v>0</v>
      </c>
      <c r="L99" s="11" t="str">
        <f aca="false">IF(I99="Used",A99,"")</f>
        <v/>
      </c>
    </row>
    <row r="100" customFormat="false" ht="39" hidden="false" customHeight="true" outlineLevel="0" collapsed="false">
      <c r="A100" s="4" t="s">
        <v>102</v>
      </c>
      <c r="B100" s="11" t="str">
        <f aca="false">IFERROR(INDEX(Species!$B$2:$B$300,MATCH($A100,Species!$A$2:$A$300,0)),"NOT IN SPECIES")</f>
        <v>Central Ranges taipan</v>
      </c>
      <c r="C100" s="23" t="n">
        <v>0.075</v>
      </c>
      <c r="D100" s="5" t="s">
        <v>599</v>
      </c>
      <c r="E100" s="5"/>
      <c r="F100" s="5"/>
      <c r="G100" s="9" t="s">
        <v>591</v>
      </c>
      <c r="H100" s="5" t="s">
        <v>592</v>
      </c>
      <c r="I100" s="5" t="s">
        <v>585</v>
      </c>
      <c r="J100" s="9" t="s">
        <v>623</v>
      </c>
      <c r="K100" s="11" t="n">
        <f aca="false">IF(OR(I100="Used",I100="Alternative"),1,0)</f>
        <v>1</v>
      </c>
      <c r="L100" s="11" t="str">
        <f aca="false">IF(I100="Used",A100,"")</f>
        <v>Oxyuranus temporalis</v>
      </c>
    </row>
    <row r="101" customFormat="false" ht="26.25" hidden="false" customHeight="true" outlineLevel="0" collapsed="false">
      <c r="A101" s="4" t="s">
        <v>57</v>
      </c>
      <c r="B101" s="11" t="str">
        <f aca="false">IFERROR(INDEX(Species!$B$2:$B$300,MATCH($A101,Species!$A$2:$A$300,0)),"NOT IN SPECIES")</f>
        <v>Mulga snake</v>
      </c>
      <c r="C101" s="23" t="n">
        <v>2.38</v>
      </c>
      <c r="D101" s="5" t="s">
        <v>580</v>
      </c>
      <c r="E101" s="5" t="s">
        <v>581</v>
      </c>
      <c r="F101" s="5" t="s">
        <v>582</v>
      </c>
      <c r="G101" s="9" t="s">
        <v>583</v>
      </c>
      <c r="H101" s="5" t="s">
        <v>584</v>
      </c>
      <c r="I101" s="5" t="s">
        <v>585</v>
      </c>
      <c r="J101" s="9" t="s">
        <v>586</v>
      </c>
      <c r="K101" s="11" t="n">
        <f aca="false">IF(OR(I101="Used",I101="Alternative"),1,0)</f>
        <v>1</v>
      </c>
      <c r="L101" s="11" t="str">
        <f aca="false">IF(I101="Used",A101,"")</f>
        <v>Pseudechis australis</v>
      </c>
    </row>
    <row r="102" customFormat="false" ht="26.25" hidden="false" customHeight="true" outlineLevel="0" collapsed="false">
      <c r="A102" s="4" t="s">
        <v>57</v>
      </c>
      <c r="B102" s="11" t="str">
        <f aca="false">IFERROR(INDEX(Species!$B$2:$B$300,MATCH($A102,Species!$A$2:$A$300,0)),"NOT IN SPECIES")</f>
        <v>Mulga snake</v>
      </c>
      <c r="C102" s="23" t="n">
        <v>1.91</v>
      </c>
      <c r="D102" s="5" t="s">
        <v>580</v>
      </c>
      <c r="E102" s="5" t="s">
        <v>581</v>
      </c>
      <c r="F102" s="5" t="s">
        <v>587</v>
      </c>
      <c r="G102" s="9" t="s">
        <v>583</v>
      </c>
      <c r="H102" s="5" t="s">
        <v>584</v>
      </c>
      <c r="I102" s="5" t="s">
        <v>588</v>
      </c>
      <c r="J102" s="9" t="s">
        <v>589</v>
      </c>
      <c r="K102" s="11" t="n">
        <f aca="false">IF(OR(I102="Used",I102="Alternative"),1,0)</f>
        <v>0</v>
      </c>
      <c r="L102" s="11" t="str">
        <f aca="false">IF(I102="Used",A102,"")</f>
        <v/>
      </c>
    </row>
    <row r="103" customFormat="false" ht="26.25" hidden="false" customHeight="true" outlineLevel="0" collapsed="false">
      <c r="A103" s="4" t="s">
        <v>103</v>
      </c>
      <c r="B103" s="11" t="str">
        <f aca="false">IFERROR(INDEX(Species!$B$2:$B$300,MATCH($A103,Species!$A$2:$A$300,0)),"NOT IN SPECIES")</f>
        <v>Collett's snake</v>
      </c>
      <c r="C103" s="23" t="n">
        <v>2.38</v>
      </c>
      <c r="D103" s="5" t="s">
        <v>580</v>
      </c>
      <c r="E103" s="5" t="s">
        <v>581</v>
      </c>
      <c r="F103" s="5" t="s">
        <v>582</v>
      </c>
      <c r="G103" s="9" t="s">
        <v>583</v>
      </c>
      <c r="H103" s="5" t="s">
        <v>584</v>
      </c>
      <c r="I103" s="5" t="s">
        <v>585</v>
      </c>
      <c r="J103" s="9" t="s">
        <v>586</v>
      </c>
      <c r="K103" s="11" t="n">
        <f aca="false">IF(OR(I103="Used",I103="Alternative"),1,0)</f>
        <v>1</v>
      </c>
      <c r="L103" s="11" t="str">
        <f aca="false">IF(I103="Used",A103,"")</f>
        <v>Pseudechis colletti</v>
      </c>
    </row>
    <row r="104" customFormat="false" ht="26.25" hidden="false" customHeight="true" outlineLevel="0" collapsed="false">
      <c r="A104" s="4" t="s">
        <v>104</v>
      </c>
      <c r="B104" s="11" t="str">
        <f aca="false">IFERROR(INDEX(Species!$B$2:$B$300,MATCH($A104,Species!$A$2:$A$300,0)),"NOT IN SPECIES")</f>
        <v>Blue-bellied black snake</v>
      </c>
      <c r="C104" s="23" t="n">
        <v>2.13</v>
      </c>
      <c r="D104" s="5" t="s">
        <v>580</v>
      </c>
      <c r="E104" s="5" t="s">
        <v>581</v>
      </c>
      <c r="F104" s="5" t="s">
        <v>582</v>
      </c>
      <c r="G104" s="9" t="s">
        <v>583</v>
      </c>
      <c r="H104" s="5" t="s">
        <v>584</v>
      </c>
      <c r="I104" s="5" t="s">
        <v>585</v>
      </c>
      <c r="J104" s="9" t="s">
        <v>586</v>
      </c>
      <c r="K104" s="11" t="n">
        <f aca="false">IF(OR(I104="Used",I104="Alternative"),1,0)</f>
        <v>1</v>
      </c>
      <c r="L104" s="11" t="str">
        <f aca="false">IF(I104="Used",A104,"")</f>
        <v>Pseudechis guttatus</v>
      </c>
    </row>
    <row r="105" customFormat="false" ht="26.25" hidden="false" customHeight="true" outlineLevel="0" collapsed="false">
      <c r="A105" s="4" t="s">
        <v>104</v>
      </c>
      <c r="B105" s="11" t="str">
        <f aca="false">IFERROR(INDEX(Species!$B$2:$B$300,MATCH($A105,Species!$A$2:$A$300,0)),"NOT IN SPECIES")</f>
        <v>Blue-bellied black snake</v>
      </c>
      <c r="C105" s="23" t="n">
        <v>1.53</v>
      </c>
      <c r="D105" s="5" t="s">
        <v>580</v>
      </c>
      <c r="E105" s="5" t="s">
        <v>581</v>
      </c>
      <c r="F105" s="5" t="s">
        <v>587</v>
      </c>
      <c r="G105" s="9" t="s">
        <v>583</v>
      </c>
      <c r="H105" s="5" t="s">
        <v>584</v>
      </c>
      <c r="I105" s="5" t="s">
        <v>588</v>
      </c>
      <c r="J105" s="9" t="s">
        <v>589</v>
      </c>
      <c r="K105" s="11" t="n">
        <f aca="false">IF(OR(I105="Used",I105="Alternative"),1,0)</f>
        <v>0</v>
      </c>
      <c r="L105" s="11" t="str">
        <f aca="false">IF(I105="Used",A105,"")</f>
        <v/>
      </c>
    </row>
    <row r="106" customFormat="false" ht="26.25" hidden="false" customHeight="true" outlineLevel="0" collapsed="false">
      <c r="A106" s="4" t="s">
        <v>104</v>
      </c>
      <c r="B106" s="11" t="str">
        <f aca="false">IFERROR(INDEX(Species!$B$2:$B$300,MATCH($A106,Species!$A$2:$A$300,0)),"NOT IN SPECIES")</f>
        <v>Blue-bellied black snake</v>
      </c>
      <c r="C106" s="23" t="n">
        <v>0.52</v>
      </c>
      <c r="D106" s="5" t="s">
        <v>599</v>
      </c>
      <c r="E106" s="5"/>
      <c r="F106" s="5"/>
      <c r="G106" s="9" t="s">
        <v>624</v>
      </c>
      <c r="H106" s="5" t="s">
        <v>595</v>
      </c>
      <c r="I106" s="5" t="s">
        <v>625</v>
      </c>
      <c r="J106" s="9" t="s">
        <v>626</v>
      </c>
      <c r="K106" s="11" t="n">
        <f aca="false">IF(OR(I106="Used",I106="Alternative"),1,0)</f>
        <v>0</v>
      </c>
      <c r="L106" s="11" t="str">
        <f aca="false">IF(I106="Used",A106,"")</f>
        <v/>
      </c>
    </row>
    <row r="107" customFormat="false" ht="26.25" hidden="false" customHeight="true" outlineLevel="0" collapsed="false">
      <c r="A107" s="4" t="s">
        <v>105</v>
      </c>
      <c r="B107" s="11" t="str">
        <f aca="false">IFERROR(INDEX(Species!$B$2:$B$300,MATCH($A107,Species!$A$2:$A$300,0)),"NOT IN SPECIES")</f>
        <v>Papuan black snake</v>
      </c>
      <c r="C107" s="23" t="n">
        <v>1.09</v>
      </c>
      <c r="D107" s="5" t="s">
        <v>580</v>
      </c>
      <c r="E107" s="5" t="s">
        <v>581</v>
      </c>
      <c r="F107" s="5" t="s">
        <v>582</v>
      </c>
      <c r="G107" s="9" t="s">
        <v>583</v>
      </c>
      <c r="H107" s="5" t="s">
        <v>584</v>
      </c>
      <c r="I107" s="5" t="s">
        <v>585</v>
      </c>
      <c r="J107" s="9" t="s">
        <v>586</v>
      </c>
      <c r="K107" s="11" t="n">
        <f aca="false">IF(OR(I107="Used",I107="Alternative"),1,0)</f>
        <v>1</v>
      </c>
      <c r="L107" s="11" t="str">
        <f aca="false">IF(I107="Used",A107,"")</f>
        <v>Pseudechis papuanus</v>
      </c>
    </row>
    <row r="108" customFormat="false" ht="26.25" hidden="false" customHeight="true" outlineLevel="0" collapsed="false">
      <c r="A108" s="4" t="s">
        <v>105</v>
      </c>
      <c r="B108" s="11" t="str">
        <f aca="false">IFERROR(INDEX(Species!$B$2:$B$300,MATCH($A108,Species!$A$2:$A$300,0)),"NOT IN SPECIES")</f>
        <v>Papuan black snake</v>
      </c>
      <c r="C108" s="23" t="n">
        <v>1.36</v>
      </c>
      <c r="D108" s="5" t="s">
        <v>580</v>
      </c>
      <c r="E108" s="5" t="s">
        <v>581</v>
      </c>
      <c r="F108" s="5" t="s">
        <v>587</v>
      </c>
      <c r="G108" s="9" t="s">
        <v>583</v>
      </c>
      <c r="H108" s="5" t="s">
        <v>584</v>
      </c>
      <c r="I108" s="5" t="s">
        <v>588</v>
      </c>
      <c r="J108" s="9" t="s">
        <v>589</v>
      </c>
      <c r="K108" s="11" t="n">
        <f aca="false">IF(OR(I108="Used",I108="Alternative"),1,0)</f>
        <v>0</v>
      </c>
      <c r="L108" s="11" t="str">
        <f aca="false">IF(I108="Used",A108,"")</f>
        <v/>
      </c>
    </row>
    <row r="109" customFormat="false" ht="26.25" hidden="false" customHeight="true" outlineLevel="0" collapsed="false">
      <c r="A109" s="4" t="s">
        <v>83</v>
      </c>
      <c r="B109" s="11" t="str">
        <f aca="false">IFERROR(INDEX(Species!$B$2:$B$300,MATCH($A109,Species!$A$2:$A$300,0)),"NOT IN SPECIES")</f>
        <v>Common blacksnake</v>
      </c>
      <c r="C109" s="23" t="n">
        <v>2.52</v>
      </c>
      <c r="D109" s="5" t="s">
        <v>580</v>
      </c>
      <c r="E109" s="5" t="s">
        <v>581</v>
      </c>
      <c r="F109" s="5" t="s">
        <v>582</v>
      </c>
      <c r="G109" s="9" t="s">
        <v>583</v>
      </c>
      <c r="H109" s="5" t="s">
        <v>584</v>
      </c>
      <c r="I109" s="5" t="s">
        <v>585</v>
      </c>
      <c r="J109" s="9" t="s">
        <v>586</v>
      </c>
      <c r="K109" s="11" t="n">
        <f aca="false">IF(OR(I109="Used",I109="Alternative"),1,0)</f>
        <v>1</v>
      </c>
      <c r="L109" s="11" t="str">
        <f aca="false">IF(I109="Used",A109,"")</f>
        <v>Pseudechis porphyriacus</v>
      </c>
    </row>
    <row r="110" customFormat="false" ht="26.25" hidden="false" customHeight="true" outlineLevel="0" collapsed="false">
      <c r="A110" s="4" t="s">
        <v>83</v>
      </c>
      <c r="B110" s="11" t="str">
        <f aca="false">IFERROR(INDEX(Species!$B$2:$B$300,MATCH($A110,Species!$A$2:$A$300,0)),"NOT IN SPECIES")</f>
        <v>Common blacksnake</v>
      </c>
      <c r="C110" s="23" t="n">
        <v>2.53</v>
      </c>
      <c r="D110" s="5" t="s">
        <v>580</v>
      </c>
      <c r="E110" s="5" t="s">
        <v>581</v>
      </c>
      <c r="F110" s="5" t="s">
        <v>587</v>
      </c>
      <c r="G110" s="9" t="s">
        <v>583</v>
      </c>
      <c r="H110" s="5" t="s">
        <v>584</v>
      </c>
      <c r="I110" s="5" t="s">
        <v>588</v>
      </c>
      <c r="J110" s="9" t="s">
        <v>589</v>
      </c>
      <c r="K110" s="11" t="n">
        <f aca="false">IF(OR(I110="Used",I110="Alternative"),1,0)</f>
        <v>0</v>
      </c>
      <c r="L110" s="11" t="str">
        <f aca="false">IF(I110="Used",A110,"")</f>
        <v/>
      </c>
    </row>
    <row r="111" customFormat="false" ht="26.25" hidden="false" customHeight="true" outlineLevel="0" collapsed="false">
      <c r="A111" s="4" t="s">
        <v>106</v>
      </c>
      <c r="B111" s="11" t="str">
        <f aca="false">IFERROR(INDEX(Species!$B$2:$B$300,MATCH($A111,Species!$A$2:$A$300,0)),"NOT IN SPECIES")</f>
        <v>Dugite</v>
      </c>
      <c r="C111" s="23" t="n">
        <v>0.66</v>
      </c>
      <c r="D111" s="5" t="s">
        <v>580</v>
      </c>
      <c r="E111" s="5" t="s">
        <v>581</v>
      </c>
      <c r="F111" s="5" t="s">
        <v>582</v>
      </c>
      <c r="G111" s="9" t="s">
        <v>583</v>
      </c>
      <c r="H111" s="5" t="s">
        <v>584</v>
      </c>
      <c r="I111" s="5" t="s">
        <v>585</v>
      </c>
      <c r="J111" s="9" t="s">
        <v>586</v>
      </c>
      <c r="K111" s="11" t="n">
        <f aca="false">IF(OR(I111="Used",I111="Alternative"),1,0)</f>
        <v>1</v>
      </c>
      <c r="L111" s="11" t="str">
        <f aca="false">IF(I111="Used",A111,"")</f>
        <v>Pseudonaja affinis</v>
      </c>
    </row>
    <row r="112" customFormat="false" ht="26.25" hidden="false" customHeight="true" outlineLevel="0" collapsed="false">
      <c r="A112" s="4" t="s">
        <v>106</v>
      </c>
      <c r="B112" s="11" t="str">
        <f aca="false">IFERROR(INDEX(Species!$B$2:$B$300,MATCH($A112,Species!$A$2:$A$300,0)),"NOT IN SPECIES")</f>
        <v>Dugite</v>
      </c>
      <c r="C112" s="23" t="n">
        <v>0.56</v>
      </c>
      <c r="D112" s="5" t="s">
        <v>580</v>
      </c>
      <c r="E112" s="5" t="s">
        <v>581</v>
      </c>
      <c r="F112" s="5" t="s">
        <v>587</v>
      </c>
      <c r="G112" s="9" t="s">
        <v>583</v>
      </c>
      <c r="H112" s="5" t="s">
        <v>584</v>
      </c>
      <c r="I112" s="5" t="s">
        <v>588</v>
      </c>
      <c r="J112" s="9" t="s">
        <v>589</v>
      </c>
      <c r="K112" s="11" t="n">
        <f aca="false">IF(OR(I112="Used",I112="Alternative"),1,0)</f>
        <v>0</v>
      </c>
      <c r="L112" s="11" t="str">
        <f aca="false">IF(I112="Used",A112,"")</f>
        <v/>
      </c>
    </row>
    <row r="113" customFormat="false" ht="26.25" hidden="false" customHeight="true" outlineLevel="0" collapsed="false">
      <c r="A113" s="4" t="s">
        <v>107</v>
      </c>
      <c r="B113" s="11" t="str">
        <f aca="false">IFERROR(INDEX(Species!$B$2:$B$300,MATCH($A113,Species!$A$2:$A$300,0)),"NOT IN SPECIES")</f>
        <v>Speckled brown snake</v>
      </c>
      <c r="C113" s="23" t="n">
        <v>0.36</v>
      </c>
      <c r="D113" s="5" t="s">
        <v>580</v>
      </c>
      <c r="E113" s="5" t="s">
        <v>590</v>
      </c>
      <c r="F113" s="5"/>
      <c r="G113" s="9" t="s">
        <v>591</v>
      </c>
      <c r="H113" s="5" t="s">
        <v>592</v>
      </c>
      <c r="I113" s="5" t="s">
        <v>585</v>
      </c>
      <c r="J113" s="9"/>
      <c r="K113" s="11" t="n">
        <f aca="false">IF(OR(I113="Used",I113="Alternative"),1,0)</f>
        <v>1</v>
      </c>
      <c r="L113" s="11" t="str">
        <f aca="false">IF(I113="Used",A113,"")</f>
        <v>Pseudonaja guttata</v>
      </c>
    </row>
    <row r="114" customFormat="false" ht="26.25" hidden="false" customHeight="true" outlineLevel="0" collapsed="false">
      <c r="A114" s="4" t="s">
        <v>108</v>
      </c>
      <c r="B114" s="11" t="str">
        <f aca="false">IFERROR(INDEX(Species!$B$2:$B$300,MATCH($A114,Species!$A$2:$A$300,0)),"NOT IN SPECIES")</f>
        <v>Western brown snake</v>
      </c>
      <c r="C114" s="23" t="n">
        <v>0.473</v>
      </c>
      <c r="D114" s="5" t="s">
        <v>580</v>
      </c>
      <c r="E114" s="5" t="s">
        <v>581</v>
      </c>
      <c r="F114" s="5" t="s">
        <v>582</v>
      </c>
      <c r="G114" s="9" t="s">
        <v>583</v>
      </c>
      <c r="H114" s="5" t="s">
        <v>584</v>
      </c>
      <c r="I114" s="5" t="s">
        <v>585</v>
      </c>
      <c r="J114" s="9" t="s">
        <v>586</v>
      </c>
      <c r="K114" s="11" t="n">
        <f aca="false">IF(OR(I114="Used",I114="Alternative"),1,0)</f>
        <v>1</v>
      </c>
      <c r="L114" s="11" t="str">
        <f aca="false">IF(I114="Used",A114,"")</f>
        <v>Pseudonaja mengdeni</v>
      </c>
    </row>
    <row r="115" customFormat="false" ht="26.25" hidden="false" customHeight="true" outlineLevel="0" collapsed="false">
      <c r="A115" s="4" t="s">
        <v>28</v>
      </c>
      <c r="B115" s="11" t="str">
        <f aca="false">IFERROR(INDEX(Species!$B$2:$B$300,MATCH($A115,Species!$A$2:$A$300,0)),"NOT IN SPECIES")</f>
        <v>Eastern brown snake</v>
      </c>
      <c r="C115" s="23" t="n">
        <v>0.053</v>
      </c>
      <c r="D115" s="5" t="s">
        <v>580</v>
      </c>
      <c r="E115" s="5" t="s">
        <v>581</v>
      </c>
      <c r="F115" s="5" t="s">
        <v>582</v>
      </c>
      <c r="G115" s="9" t="s">
        <v>583</v>
      </c>
      <c r="H115" s="5" t="s">
        <v>584</v>
      </c>
      <c r="I115" s="5" t="s">
        <v>585</v>
      </c>
      <c r="J115" s="9" t="s">
        <v>586</v>
      </c>
      <c r="K115" s="11" t="n">
        <f aca="false">IF(OR(I115="Used",I115="Alternative"),1,0)</f>
        <v>1</v>
      </c>
      <c r="L115" s="11" t="str">
        <f aca="false">IF(I115="Used",A115,"")</f>
        <v>Pseudonaja textilis</v>
      </c>
    </row>
    <row r="116" customFormat="false" ht="26.25" hidden="false" customHeight="true" outlineLevel="0" collapsed="false">
      <c r="A116" s="4" t="s">
        <v>28</v>
      </c>
      <c r="B116" s="11" t="str">
        <f aca="false">IFERROR(INDEX(Species!$B$2:$B$300,MATCH($A116,Species!$A$2:$A$300,0)),"NOT IN SPECIES")</f>
        <v>Eastern brown snake</v>
      </c>
      <c r="C116" s="23" t="n">
        <v>0.041</v>
      </c>
      <c r="D116" s="5" t="s">
        <v>580</v>
      </c>
      <c r="E116" s="5" t="s">
        <v>581</v>
      </c>
      <c r="F116" s="5" t="s">
        <v>587</v>
      </c>
      <c r="G116" s="9" t="s">
        <v>583</v>
      </c>
      <c r="H116" s="5" t="s">
        <v>584</v>
      </c>
      <c r="I116" s="5" t="s">
        <v>588</v>
      </c>
      <c r="J116" s="9" t="s">
        <v>589</v>
      </c>
      <c r="K116" s="11" t="n">
        <f aca="false">IF(OR(I116="Used",I116="Alternative"),1,0)</f>
        <v>0</v>
      </c>
      <c r="L116" s="11" t="str">
        <f aca="false">IF(I116="Used",A116,"")</f>
        <v/>
      </c>
    </row>
    <row r="117" customFormat="false" ht="26.25" hidden="false" customHeight="true" outlineLevel="0" collapsed="false">
      <c r="A117" s="4" t="s">
        <v>87</v>
      </c>
      <c r="B117" s="11" t="str">
        <f aca="false">IFERROR(INDEX(Species!$B$2:$B$300,MATCH($A117,Species!$A$2:$A$300,0)),"NOT IN SPECIES")</f>
        <v>Pygmy rattlesnake</v>
      </c>
      <c r="C117" s="23" t="n">
        <v>2.8</v>
      </c>
      <c r="D117" s="5" t="s">
        <v>580</v>
      </c>
      <c r="E117" s="5" t="s">
        <v>590</v>
      </c>
      <c r="F117" s="5"/>
      <c r="G117" s="9" t="s">
        <v>591</v>
      </c>
      <c r="H117" s="5" t="s">
        <v>592</v>
      </c>
      <c r="I117" s="5" t="s">
        <v>585</v>
      </c>
      <c r="J117" s="9"/>
      <c r="K117" s="11" t="n">
        <f aca="false">IF(OR(I117="Used",I117="Alternative"),1,0)</f>
        <v>1</v>
      </c>
      <c r="L117" s="11" t="str">
        <f aca="false">IF(I117="Used",A117,"")</f>
        <v>Sistrurus miliarius</v>
      </c>
    </row>
    <row r="118" customFormat="false" ht="26.25" hidden="false" customHeight="true" outlineLevel="0" collapsed="false">
      <c r="A118" s="4" t="s">
        <v>109</v>
      </c>
      <c r="B118" s="11" t="str">
        <f aca="false">IFERROR(INDEX(Species!$B$2:$B$300,MATCH($A118,Species!$A$2:$A$300,0)),"NOT IN SPECIES")</f>
        <v>African birdsnake</v>
      </c>
      <c r="C118" s="23" t="n">
        <v>0.21</v>
      </c>
      <c r="D118" s="5" t="s">
        <v>580</v>
      </c>
      <c r="E118" s="5" t="s">
        <v>590</v>
      </c>
      <c r="F118" s="5"/>
      <c r="G118" s="9" t="s">
        <v>591</v>
      </c>
      <c r="H118" s="5" t="s">
        <v>592</v>
      </c>
      <c r="I118" s="5" t="s">
        <v>585</v>
      </c>
      <c r="J118" s="9"/>
      <c r="K118" s="11" t="n">
        <f aca="false">IF(OR(I118="Used",I118="Alternative"),1,0)</f>
        <v>1</v>
      </c>
      <c r="L118" s="11" t="str">
        <f aca="false">IF(I118="Used",A118,"")</f>
        <v>Thelotornis capensis</v>
      </c>
    </row>
    <row r="119" customFormat="false" ht="26.25" hidden="false" customHeight="true" outlineLevel="0" collapsed="false">
      <c r="A119" s="4" t="s">
        <v>73</v>
      </c>
      <c r="B119" s="11" t="str">
        <f aca="false">IFERROR(INDEX(Species!$B$2:$B$300,MATCH($A119,Species!$A$2:$A$300,0)),"NOT IN SPECIES")</f>
        <v>White-lipped pit viper</v>
      </c>
      <c r="C119" s="23" t="n">
        <v>0.37</v>
      </c>
      <c r="D119" s="5" t="s">
        <v>580</v>
      </c>
      <c r="E119" s="5" t="s">
        <v>590</v>
      </c>
      <c r="F119" s="5"/>
      <c r="G119" s="9" t="s">
        <v>591</v>
      </c>
      <c r="H119" s="5" t="s">
        <v>592</v>
      </c>
      <c r="I119" s="5" t="s">
        <v>585</v>
      </c>
      <c r="J119" s="9"/>
      <c r="K119" s="11" t="n">
        <f aca="false">IF(OR(I119="Used",I119="Alternative"),1,0)</f>
        <v>1</v>
      </c>
      <c r="L119" s="11" t="str">
        <f aca="false">IF(I119="Used",A119,"")</f>
        <v>Trimeresurus albolabris</v>
      </c>
    </row>
    <row r="120" customFormat="false" ht="26.25" hidden="false" customHeight="true" outlineLevel="0" collapsed="false">
      <c r="A120" s="4" t="s">
        <v>110</v>
      </c>
      <c r="B120" s="11" t="str">
        <f aca="false">IFERROR(INDEX(Species!$B$2:$B$300,MATCH($A120,Species!$A$2:$A$300,0)),"NOT IN SPECIES")</f>
        <v>Rough-scaled snake</v>
      </c>
      <c r="C120" s="23" t="n">
        <v>1.36</v>
      </c>
      <c r="D120" s="5" t="s">
        <v>580</v>
      </c>
      <c r="E120" s="5" t="s">
        <v>581</v>
      </c>
      <c r="F120" s="5" t="s">
        <v>582</v>
      </c>
      <c r="G120" s="9" t="s">
        <v>583</v>
      </c>
      <c r="H120" s="5" t="s">
        <v>584</v>
      </c>
      <c r="I120" s="5" t="s">
        <v>585</v>
      </c>
      <c r="J120" s="9" t="s">
        <v>586</v>
      </c>
      <c r="K120" s="11" t="n">
        <f aca="false">IF(OR(I120="Used",I120="Alternative"),1,0)</f>
        <v>1</v>
      </c>
      <c r="L120" s="11" t="str">
        <f aca="false">IF(I120="Used",A120,"")</f>
        <v>Tropidechis carinatus</v>
      </c>
    </row>
    <row r="121" customFormat="false" ht="26.25" hidden="false" customHeight="true" outlineLevel="0" collapsed="false">
      <c r="A121" s="4" t="s">
        <v>110</v>
      </c>
      <c r="B121" s="11" t="str">
        <f aca="false">IFERROR(INDEX(Species!$B$2:$B$300,MATCH($A121,Species!$A$2:$A$300,0)),"NOT IN SPECIES")</f>
        <v>Rough-scaled snake</v>
      </c>
      <c r="C121" s="23" t="n">
        <v>1.09</v>
      </c>
      <c r="D121" s="5" t="s">
        <v>580</v>
      </c>
      <c r="E121" s="5" t="s">
        <v>581</v>
      </c>
      <c r="F121" s="5" t="s">
        <v>587</v>
      </c>
      <c r="G121" s="9" t="s">
        <v>583</v>
      </c>
      <c r="H121" s="5" t="s">
        <v>584</v>
      </c>
      <c r="I121" s="5" t="s">
        <v>588</v>
      </c>
      <c r="J121" s="9" t="s">
        <v>589</v>
      </c>
      <c r="K121" s="11" t="n">
        <f aca="false">IF(OR(I121="Used",I121="Alternative"),1,0)</f>
        <v>0</v>
      </c>
      <c r="L121" s="11" t="str">
        <f aca="false">IF(I121="Used",A121,"")</f>
        <v/>
      </c>
    </row>
    <row r="122" customFormat="false" ht="26.25" hidden="false" customHeight="true" outlineLevel="0" collapsed="false">
      <c r="A122" s="4" t="s">
        <v>60</v>
      </c>
      <c r="B122" s="11" t="str">
        <f aca="false">IFERROR(INDEX(Species!$B$2:$B$300,MATCH($A122,Species!$A$2:$A$300,0)),"NOT IN SPECIES")</f>
        <v>Wagler's pit viper</v>
      </c>
      <c r="C122" s="23" t="n">
        <v>0.75</v>
      </c>
      <c r="D122" s="5" t="s">
        <v>580</v>
      </c>
      <c r="E122" s="5" t="s">
        <v>590</v>
      </c>
      <c r="F122" s="5"/>
      <c r="G122" s="9" t="s">
        <v>591</v>
      </c>
      <c r="H122" s="5" t="s">
        <v>592</v>
      </c>
      <c r="I122" s="5" t="s">
        <v>585</v>
      </c>
      <c r="J122" s="9"/>
      <c r="K122" s="11" t="n">
        <f aca="false">IF(OR(I122="Used",I122="Alternative"),1,0)</f>
        <v>1</v>
      </c>
      <c r="L122" s="11" t="str">
        <f aca="false">IF(I122="Used",A122,"")</f>
        <v>Tropidolaemus wagleri</v>
      </c>
    </row>
    <row r="123" customFormat="false" ht="26.25" hidden="false" customHeight="true" outlineLevel="0" collapsed="false">
      <c r="A123" s="4" t="s">
        <v>111</v>
      </c>
      <c r="B123" s="11" t="str">
        <f aca="false">IFERROR(INDEX(Species!$B$2:$B$300,MATCH($A123,Species!$A$2:$A$300,0)),"NOT IN SPECIES")</f>
        <v>Nose-horned viper</v>
      </c>
      <c r="C123" s="23" t="n">
        <v>0.48</v>
      </c>
      <c r="D123" s="5" t="s">
        <v>580</v>
      </c>
      <c r="E123" s="5" t="s">
        <v>590</v>
      </c>
      <c r="F123" s="5"/>
      <c r="G123" s="9" t="s">
        <v>591</v>
      </c>
      <c r="H123" s="5" t="s">
        <v>592</v>
      </c>
      <c r="I123" s="5" t="s">
        <v>585</v>
      </c>
      <c r="J123" s="9"/>
      <c r="K123" s="11" t="n">
        <f aca="false">IF(OR(I123="Used",I123="Alternative"),1,0)</f>
        <v>1</v>
      </c>
      <c r="L123" s="11" t="str">
        <f aca="false">IF(I123="Used",A123,"")</f>
        <v>Vipera ammodytes</v>
      </c>
    </row>
    <row r="124" customFormat="false" ht="26.25" hidden="false" customHeight="true" outlineLevel="0" collapsed="false">
      <c r="A124" s="4" t="s">
        <v>50</v>
      </c>
      <c r="B124" s="11" t="str">
        <f aca="false">IFERROR(INDEX(Species!$B$2:$B$300,MATCH($A124,Species!$A$2:$A$300,0)),"NOT IN SPECIES")</f>
        <v>Common European viper</v>
      </c>
      <c r="C124" s="23" t="n">
        <v>0.11</v>
      </c>
      <c r="D124" s="5" t="s">
        <v>580</v>
      </c>
      <c r="E124" s="5" t="s">
        <v>590</v>
      </c>
      <c r="F124" s="5"/>
      <c r="G124" s="9" t="s">
        <v>591</v>
      </c>
      <c r="H124" s="5" t="s">
        <v>592</v>
      </c>
      <c r="I124" s="5" t="s">
        <v>585</v>
      </c>
      <c r="J124" s="9"/>
      <c r="K124" s="11" t="n">
        <f aca="false">IF(OR(I124="Used",I124="Alternative"),1,0)</f>
        <v>1</v>
      </c>
      <c r="L124" s="11" t="str">
        <f aca="false">IF(I124="Used",A124,"")</f>
        <v>Vipera berus</v>
      </c>
    </row>
  </sheetData>
  <autoFilter ref="A1:L124"/>
  <dataValidations count="2">
    <dataValidation allowBlank="false" errorStyle="stop" operator="between" showDropDown="false" showErrorMessage="false" showInputMessage="false" sqref="I2:I1000" type="list">
      <formula1>"Used,Alternative,Vehicle variant,Other route,Rejected"</formula1>
      <formula2>0</formula2>
    </dataValidation>
    <dataValidation allowBlank="false" errorStyle="stop" operator="between" showDropDown="false" showErrorMessage="false" showInputMessage="false" sqref="H2:H1000" type="list">
      <formula1>"A,B,C,D"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10"/>
    <col collapsed="false" customWidth="true" hidden="false" outlineLevel="0" max="4" min="4" style="0" width="9"/>
    <col collapsed="false" customWidth="true" hidden="false" outlineLevel="0" max="5" min="5" style="0" width="30"/>
    <col collapsed="false" customWidth="true" hidden="false" outlineLevel="0" max="7" min="6" style="0" width="8"/>
    <col collapsed="false" customWidth="true" hidden="false" outlineLevel="0" max="8" min="8" style="0" width="5"/>
    <col collapsed="false" customWidth="true" hidden="false" outlineLevel="0" max="9" min="9" style="0" width="46"/>
    <col collapsed="false" customWidth="true" hidden="false" outlineLevel="0" max="10" min="10" style="0" width="6"/>
    <col collapsed="false" customWidth="true" hidden="false" outlineLevel="0" max="11" min="11" style="0" width="12"/>
    <col collapsed="false" customWidth="true" hidden="false" outlineLevel="0" max="12" min="12" style="0" width="60"/>
    <col collapsed="false" customWidth="true" hidden="false" outlineLevel="0" max="13" min="13" style="0" width="7"/>
    <col collapsed="false" customWidth="true" hidden="false" outlineLevel="0" max="14" min="14" style="0" width="22"/>
  </cols>
  <sheetData>
    <row r="1" customFormat="false" ht="42" hidden="false" customHeight="true" outlineLevel="0" collapsed="false">
      <c r="A1" s="1" t="s">
        <v>0</v>
      </c>
      <c r="B1" s="2" t="s">
        <v>1</v>
      </c>
      <c r="C1" s="1" t="s">
        <v>627</v>
      </c>
      <c r="D1" s="1" t="s">
        <v>628</v>
      </c>
      <c r="E1" s="1" t="s">
        <v>629</v>
      </c>
      <c r="F1" s="1" t="s">
        <v>630</v>
      </c>
      <c r="G1" s="1" t="s">
        <v>631</v>
      </c>
      <c r="H1" s="1" t="s">
        <v>632</v>
      </c>
      <c r="I1" s="1" t="s">
        <v>574</v>
      </c>
      <c r="J1" s="1" t="s">
        <v>575</v>
      </c>
      <c r="K1" s="1" t="s">
        <v>576</v>
      </c>
      <c r="L1" s="1" t="s">
        <v>577</v>
      </c>
      <c r="M1" s="2" t="s">
        <v>578</v>
      </c>
      <c r="N1" s="2" t="s">
        <v>579</v>
      </c>
    </row>
    <row r="2" customFormat="false" ht="26.25" hidden="false" customHeight="true" outlineLevel="0" collapsed="false">
      <c r="A2" s="4" t="s">
        <v>41</v>
      </c>
      <c r="B2" s="11" t="str">
        <f aca="false">IFERROR(INDEX(Species!$B$2:$B$300,MATCH($A2,Species!$A$2:$A$300,0)),"NOT IN SPECIES")</f>
        <v>Common death adder</v>
      </c>
      <c r="C2" s="24" t="n">
        <v>70</v>
      </c>
      <c r="D2" s="24" t="n">
        <v>236</v>
      </c>
      <c r="E2" s="9" t="s">
        <v>633</v>
      </c>
      <c r="F2" s="5" t="s">
        <v>634</v>
      </c>
      <c r="G2" s="5" t="s">
        <v>635</v>
      </c>
      <c r="H2" s="5"/>
      <c r="I2" s="9" t="s">
        <v>636</v>
      </c>
      <c r="J2" s="5" t="s">
        <v>592</v>
      </c>
      <c r="K2" s="5" t="s">
        <v>585</v>
      </c>
      <c r="L2" s="9"/>
      <c r="M2" s="11" t="n">
        <f aca="false">IF(OR(K2="Used",K2="Alternative"),1,0)</f>
        <v>1</v>
      </c>
      <c r="N2" s="11" t="str">
        <f aca="false">IF(K2="Used",A2,"")</f>
        <v>Acanthophis antarcticus</v>
      </c>
    </row>
    <row r="3" customFormat="false" ht="26.25" hidden="false" customHeight="true" outlineLevel="0" collapsed="false">
      <c r="A3" s="4" t="s">
        <v>62</v>
      </c>
      <c r="B3" s="11" t="str">
        <f aca="false">IFERROR(INDEX(Species!$B$2:$B$300,MATCH($A3,Species!$A$2:$A$300,0)),"NOT IN SPECIES")</f>
        <v>Cantil</v>
      </c>
      <c r="C3" s="24" t="n">
        <v>50</v>
      </c>
      <c r="D3" s="24" t="n">
        <v>95</v>
      </c>
      <c r="E3" s="9" t="s">
        <v>633</v>
      </c>
      <c r="F3" s="5" t="s">
        <v>634</v>
      </c>
      <c r="G3" s="5" t="s">
        <v>635</v>
      </c>
      <c r="H3" s="5"/>
      <c r="I3" s="9" t="s">
        <v>636</v>
      </c>
      <c r="J3" s="5" t="s">
        <v>592</v>
      </c>
      <c r="K3" s="5" t="s">
        <v>585</v>
      </c>
      <c r="L3" s="9"/>
      <c r="M3" s="11" t="n">
        <f aca="false">IF(OR(K3="Used",K3="Alternative"),1,0)</f>
        <v>1</v>
      </c>
      <c r="N3" s="11" t="str">
        <f aca="false">IF(K3="Used",A3,"")</f>
        <v>Agkistrodon bilineatus</v>
      </c>
    </row>
    <row r="4" customFormat="false" ht="26.25" hidden="false" customHeight="true" outlineLevel="0" collapsed="false">
      <c r="A4" s="4" t="s">
        <v>90</v>
      </c>
      <c r="B4" s="11" t="str">
        <f aca="false">IFERROR(INDEX(Species!$B$2:$B$300,MATCH($A4,Species!$A$2:$A$300,0)),"NOT IN SPECIES")</f>
        <v>Copperhead</v>
      </c>
      <c r="C4" s="24" t="n">
        <v>40</v>
      </c>
      <c r="D4" s="24" t="n">
        <v>75</v>
      </c>
      <c r="E4" s="9" t="s">
        <v>633</v>
      </c>
      <c r="F4" s="5" t="s">
        <v>634</v>
      </c>
      <c r="G4" s="5" t="s">
        <v>635</v>
      </c>
      <c r="H4" s="5"/>
      <c r="I4" s="9" t="s">
        <v>636</v>
      </c>
      <c r="J4" s="5" t="s">
        <v>592</v>
      </c>
      <c r="K4" s="5" t="s">
        <v>585</v>
      </c>
      <c r="L4" s="9"/>
      <c r="M4" s="11" t="n">
        <f aca="false">IF(OR(K4="Used",K4="Alternative"),1,0)</f>
        <v>1</v>
      </c>
      <c r="N4" s="11" t="str">
        <f aca="false">IF(K4="Used",A4,"")</f>
        <v>Agkistrodon contortrix</v>
      </c>
    </row>
    <row r="5" customFormat="false" ht="26.25" hidden="false" customHeight="true" outlineLevel="0" collapsed="false">
      <c r="A5" s="4" t="s">
        <v>70</v>
      </c>
      <c r="B5" s="11" t="str">
        <f aca="false">IFERROR(INDEX(Species!$B$2:$B$300,MATCH($A5,Species!$A$2:$A$300,0)),"NOT IN SPECIES")</f>
        <v>Cottonmouth</v>
      </c>
      <c r="C5" s="24" t="n">
        <v>80</v>
      </c>
      <c r="D5" s="24" t="n">
        <v>170</v>
      </c>
      <c r="E5" s="9" t="s">
        <v>633</v>
      </c>
      <c r="F5" s="5" t="s">
        <v>634</v>
      </c>
      <c r="G5" s="5" t="s">
        <v>635</v>
      </c>
      <c r="H5" s="5"/>
      <c r="I5" s="9" t="s">
        <v>636</v>
      </c>
      <c r="J5" s="5" t="s">
        <v>592</v>
      </c>
      <c r="K5" s="5" t="s">
        <v>585</v>
      </c>
      <c r="L5" s="9"/>
      <c r="M5" s="11" t="n">
        <f aca="false">IF(OR(K5="Used",K5="Alternative"),1,0)</f>
        <v>1</v>
      </c>
      <c r="N5" s="11" t="str">
        <f aca="false">IF(K5="Used",A5,"")</f>
        <v>Agkistrodon piscivorus</v>
      </c>
    </row>
    <row r="6" customFormat="false" ht="26.25" hidden="false" customHeight="true" outlineLevel="0" collapsed="false">
      <c r="A6" s="4" t="s">
        <v>76</v>
      </c>
      <c r="B6" s="11" t="str">
        <f aca="false">IFERROR(INDEX(Species!$B$2:$B$300,MATCH($A6,Species!$A$2:$A$300,0)),"NOT IN SPECIES")</f>
        <v>Dubois' sea snake</v>
      </c>
      <c r="C6" s="24" t="n">
        <v>0.7</v>
      </c>
      <c r="D6" s="24" t="n">
        <v>0.7</v>
      </c>
      <c r="E6" s="9" t="s">
        <v>633</v>
      </c>
      <c r="F6" s="5" t="s">
        <v>634</v>
      </c>
      <c r="G6" s="5" t="s">
        <v>635</v>
      </c>
      <c r="H6" s="5"/>
      <c r="I6" s="9" t="s">
        <v>636</v>
      </c>
      <c r="J6" s="5" t="s">
        <v>592</v>
      </c>
      <c r="K6" s="5" t="s">
        <v>585</v>
      </c>
      <c r="L6" s="9"/>
      <c r="M6" s="11" t="n">
        <f aca="false">IF(OR(K6="Used",K6="Alternative"),1,0)</f>
        <v>1</v>
      </c>
      <c r="N6" s="11" t="str">
        <f aca="false">IF(K6="Used",A6,"")</f>
        <v>Aipysurus duboisii</v>
      </c>
    </row>
    <row r="7" customFormat="false" ht="26.25" hidden="false" customHeight="true" outlineLevel="0" collapsed="false">
      <c r="A7" s="4" t="s">
        <v>55</v>
      </c>
      <c r="B7" s="11" t="str">
        <f aca="false">IFERROR(INDEX(Species!$B$2:$B$300,MATCH($A7,Species!$A$2:$A$300,0)),"NOT IN SPECIES")</f>
        <v>Olive brown sea snake</v>
      </c>
      <c r="C7" s="24" t="n">
        <v>10</v>
      </c>
      <c r="D7" s="24" t="n">
        <v>33</v>
      </c>
      <c r="E7" s="9" t="s">
        <v>633</v>
      </c>
      <c r="F7" s="5" t="s">
        <v>634</v>
      </c>
      <c r="G7" s="5" t="s">
        <v>635</v>
      </c>
      <c r="H7" s="5"/>
      <c r="I7" s="9" t="s">
        <v>636</v>
      </c>
      <c r="J7" s="5" t="s">
        <v>592</v>
      </c>
      <c r="K7" s="5" t="s">
        <v>585</v>
      </c>
      <c r="L7" s="9"/>
      <c r="M7" s="11" t="n">
        <f aca="false">IF(OR(K7="Used",K7="Alternative"),1,0)</f>
        <v>1</v>
      </c>
      <c r="N7" s="11" t="str">
        <f aca="false">IF(K7="Used",A7,"")</f>
        <v>Aipysurus laevis</v>
      </c>
    </row>
    <row r="8" customFormat="false" ht="26.25" hidden="false" customHeight="true" outlineLevel="0" collapsed="false">
      <c r="A8" s="4" t="s">
        <v>25</v>
      </c>
      <c r="B8" s="11" t="str">
        <f aca="false">IFERROR(INDEX(Species!$B$2:$B$300,MATCH($A8,Species!$A$2:$A$300,0)),"NOT IN SPECIES")</f>
        <v>Puff adder</v>
      </c>
      <c r="C8" s="24" t="n">
        <v>100</v>
      </c>
      <c r="D8" s="24" t="n">
        <v>350</v>
      </c>
      <c r="E8" s="9" t="s">
        <v>637</v>
      </c>
      <c r="F8" s="5" t="s">
        <v>634</v>
      </c>
      <c r="G8" s="5" t="s">
        <v>635</v>
      </c>
      <c r="H8" s="5"/>
      <c r="I8" s="9" t="s">
        <v>636</v>
      </c>
      <c r="J8" s="5" t="s">
        <v>592</v>
      </c>
      <c r="K8" s="5" t="s">
        <v>585</v>
      </c>
      <c r="L8" s="9"/>
      <c r="M8" s="11" t="n">
        <f aca="false">IF(OR(K8="Used",K8="Alternative"),1,0)</f>
        <v>1</v>
      </c>
      <c r="N8" s="11" t="str">
        <f aca="false">IF(K8="Used",A8,"")</f>
        <v>Bitis arietans</v>
      </c>
    </row>
    <row r="9" customFormat="false" ht="26.25" hidden="false" customHeight="true" outlineLevel="0" collapsed="false">
      <c r="A9" s="4" t="s">
        <v>25</v>
      </c>
      <c r="B9" s="11" t="str">
        <f aca="false">IFERROR(INDEX(Species!$B$2:$B$300,MATCH($A9,Species!$A$2:$A$300,0)),"NOT IN SPECIES")</f>
        <v>Puff adder</v>
      </c>
      <c r="C9" s="24" t="n">
        <v>443</v>
      </c>
      <c r="D9" s="24" t="n">
        <v>935</v>
      </c>
      <c r="E9" s="9" t="s">
        <v>638</v>
      </c>
      <c r="F9" s="5" t="s">
        <v>639</v>
      </c>
      <c r="G9" s="5" t="s">
        <v>153</v>
      </c>
      <c r="H9" s="5" t="n">
        <v>24</v>
      </c>
      <c r="I9" s="9" t="s">
        <v>640</v>
      </c>
      <c r="J9" s="5" t="s">
        <v>595</v>
      </c>
      <c r="K9" s="5" t="s">
        <v>641</v>
      </c>
      <c r="L9" s="9" t="s">
        <v>642</v>
      </c>
      <c r="M9" s="11" t="n">
        <f aca="false">IF(OR(K9="Used",K9="Alternative"),1,0)</f>
        <v>0</v>
      </c>
      <c r="N9" s="11" t="str">
        <f aca="false">IF(K9="Used",A9,"")</f>
        <v/>
      </c>
    </row>
    <row r="10" customFormat="false" ht="26.25" hidden="false" customHeight="true" outlineLevel="0" collapsed="false">
      <c r="A10" s="4" t="s">
        <v>22</v>
      </c>
      <c r="B10" s="11" t="str">
        <f aca="false">IFERROR(INDEX(Species!$B$2:$B$300,MATCH($A10,Species!$A$2:$A$300,0)),"NOT IN SPECIES")</f>
        <v>Gaboon viper</v>
      </c>
      <c r="C10" s="24" t="n">
        <v>350</v>
      </c>
      <c r="D10" s="24" t="n">
        <v>600</v>
      </c>
      <c r="E10" s="9" t="s">
        <v>633</v>
      </c>
      <c r="F10" s="5" t="s">
        <v>634</v>
      </c>
      <c r="G10" s="5" t="s">
        <v>635</v>
      </c>
      <c r="H10" s="5"/>
      <c r="I10" s="9" t="s">
        <v>636</v>
      </c>
      <c r="J10" s="5" t="s">
        <v>592</v>
      </c>
      <c r="K10" s="5" t="s">
        <v>585</v>
      </c>
      <c r="L10" s="9"/>
      <c r="M10" s="11" t="n">
        <f aca="false">IF(OR(K10="Used",K10="Alternative"),1,0)</f>
        <v>1</v>
      </c>
      <c r="N10" s="11" t="str">
        <f aca="false">IF(K10="Used",A10,"")</f>
        <v>Bitis gabonica</v>
      </c>
    </row>
    <row r="11" customFormat="false" ht="26.25" hidden="false" customHeight="true" outlineLevel="0" collapsed="false">
      <c r="A11" s="4" t="s">
        <v>49</v>
      </c>
      <c r="B11" s="11" t="str">
        <f aca="false">IFERROR(INDEX(Species!$B$2:$B$300,MATCH($A11,Species!$A$2:$A$300,0)),"NOT IN SPECIES")</f>
        <v>Rhinoceros viper</v>
      </c>
      <c r="C11" s="24" t="n">
        <v>200</v>
      </c>
      <c r="D11" s="24" t="n">
        <v>200</v>
      </c>
      <c r="E11" s="9" t="s">
        <v>633</v>
      </c>
      <c r="F11" s="5" t="s">
        <v>634</v>
      </c>
      <c r="G11" s="5" t="s">
        <v>635</v>
      </c>
      <c r="H11" s="5"/>
      <c r="I11" s="9" t="s">
        <v>636</v>
      </c>
      <c r="J11" s="5" t="s">
        <v>592</v>
      </c>
      <c r="K11" s="5" t="s">
        <v>585</v>
      </c>
      <c r="L11" s="9"/>
      <c r="M11" s="11" t="n">
        <f aca="false">IF(OR(K11="Used",K11="Alternative"),1,0)</f>
        <v>1</v>
      </c>
      <c r="N11" s="11" t="str">
        <f aca="false">IF(K11="Used",A11,"")</f>
        <v>Bitis nasicornis</v>
      </c>
    </row>
    <row r="12" customFormat="false" ht="26.25" hidden="false" customHeight="true" outlineLevel="0" collapsed="false">
      <c r="A12" s="4" t="s">
        <v>86</v>
      </c>
      <c r="B12" s="11" t="str">
        <f aca="false">IFERROR(INDEX(Species!$B$2:$B$300,MATCH($A12,Species!$A$2:$A$300,0)),"NOT IN SPECIES")</f>
        <v>Eyelash palm pit viper</v>
      </c>
      <c r="C12" s="24" t="n">
        <v>10</v>
      </c>
      <c r="D12" s="24" t="n">
        <v>20</v>
      </c>
      <c r="E12" s="9" t="s">
        <v>633</v>
      </c>
      <c r="F12" s="5" t="s">
        <v>634</v>
      </c>
      <c r="G12" s="5" t="s">
        <v>635</v>
      </c>
      <c r="H12" s="5"/>
      <c r="I12" s="9" t="s">
        <v>636</v>
      </c>
      <c r="J12" s="5" t="s">
        <v>592</v>
      </c>
      <c r="K12" s="5" t="s">
        <v>585</v>
      </c>
      <c r="L12" s="9"/>
      <c r="M12" s="11" t="n">
        <f aca="false">IF(OR(K12="Used",K12="Alternative"),1,0)</f>
        <v>1</v>
      </c>
      <c r="N12" s="11" t="str">
        <f aca="false">IF(K12="Used",A12,"")</f>
        <v>Bothriechis schlegelii</v>
      </c>
    </row>
    <row r="13" customFormat="false" ht="26.25" hidden="false" customHeight="true" outlineLevel="0" collapsed="false">
      <c r="A13" s="4" t="s">
        <v>77</v>
      </c>
      <c r="B13" s="11" t="str">
        <f aca="false">IFERROR(INDEX(Species!$B$2:$B$300,MATCH($A13,Species!$A$2:$A$300,0)),"NOT IN SPECIES")</f>
        <v>Urutu</v>
      </c>
      <c r="C13" s="24" t="n">
        <v>60</v>
      </c>
      <c r="D13" s="24" t="n">
        <v>100</v>
      </c>
      <c r="E13" s="9" t="s">
        <v>633</v>
      </c>
      <c r="F13" s="5" t="s">
        <v>634</v>
      </c>
      <c r="G13" s="5" t="s">
        <v>635</v>
      </c>
      <c r="H13" s="5"/>
      <c r="I13" s="9" t="s">
        <v>636</v>
      </c>
      <c r="J13" s="5" t="s">
        <v>592</v>
      </c>
      <c r="K13" s="5" t="s">
        <v>585</v>
      </c>
      <c r="L13" s="9"/>
      <c r="M13" s="11" t="n">
        <f aca="false">IF(OR(K13="Used",K13="Alternative"),1,0)</f>
        <v>1</v>
      </c>
      <c r="N13" s="11" t="str">
        <f aca="false">IF(K13="Used",A13,"")</f>
        <v>Bothrops alternatus</v>
      </c>
    </row>
    <row r="14" customFormat="false" ht="26.25" hidden="false" customHeight="true" outlineLevel="0" collapsed="false">
      <c r="A14" s="4" t="s">
        <v>51</v>
      </c>
      <c r="B14" s="11" t="str">
        <f aca="false">IFERROR(INDEX(Species!$B$2:$B$300,MATCH($A14,Species!$A$2:$A$300,0)),"NOT IN SPECIES")</f>
        <v>Terciopelo</v>
      </c>
      <c r="C14" s="24" t="n">
        <v>100</v>
      </c>
      <c r="D14" s="24" t="n">
        <v>310</v>
      </c>
      <c r="E14" s="9" t="s">
        <v>633</v>
      </c>
      <c r="F14" s="5" t="s">
        <v>634</v>
      </c>
      <c r="G14" s="5" t="s">
        <v>635</v>
      </c>
      <c r="H14" s="5"/>
      <c r="I14" s="9" t="s">
        <v>636</v>
      </c>
      <c r="J14" s="5" t="s">
        <v>592</v>
      </c>
      <c r="K14" s="5" t="s">
        <v>585</v>
      </c>
      <c r="L14" s="9"/>
      <c r="M14" s="11" t="n">
        <f aca="false">IF(OR(K14="Used",K14="Alternative"),1,0)</f>
        <v>1</v>
      </c>
      <c r="N14" s="11" t="str">
        <f aca="false">IF(K14="Used",A14,"")</f>
        <v>Bothrops asper</v>
      </c>
    </row>
    <row r="15" customFormat="false" ht="26.25" hidden="false" customHeight="true" outlineLevel="0" collapsed="false">
      <c r="A15" s="4" t="s">
        <v>40</v>
      </c>
      <c r="B15" s="11" t="str">
        <f aca="false">IFERROR(INDEX(Species!$B$2:$B$300,MATCH($A15,Species!$A$2:$A$300,0)),"NOT IN SPECIES")</f>
        <v>Common lancehead</v>
      </c>
      <c r="C15" s="24" t="n">
        <v>100</v>
      </c>
      <c r="D15" s="24" t="n">
        <v>200</v>
      </c>
      <c r="E15" s="9" t="s">
        <v>633</v>
      </c>
      <c r="F15" s="5" t="s">
        <v>634</v>
      </c>
      <c r="G15" s="5" t="s">
        <v>635</v>
      </c>
      <c r="H15" s="5"/>
      <c r="I15" s="9" t="s">
        <v>636</v>
      </c>
      <c r="J15" s="5" t="s">
        <v>592</v>
      </c>
      <c r="K15" s="5" t="s">
        <v>585</v>
      </c>
      <c r="L15" s="9"/>
      <c r="M15" s="11" t="n">
        <f aca="false">IF(OR(K15="Used",K15="Alternative"),1,0)</f>
        <v>1</v>
      </c>
      <c r="N15" s="11" t="str">
        <f aca="false">IF(K15="Used",A15,"")</f>
        <v>Bothrops atrox</v>
      </c>
    </row>
    <row r="16" customFormat="false" ht="26.25" hidden="false" customHeight="true" outlineLevel="0" collapsed="false">
      <c r="A16" s="4" t="s">
        <v>71</v>
      </c>
      <c r="B16" s="11" t="str">
        <f aca="false">IFERROR(INDEX(Species!$B$2:$B$300,MATCH($A16,Species!$A$2:$A$300,0)),"NOT IN SPECIES")</f>
        <v>Jararaca</v>
      </c>
      <c r="C16" s="24" t="n">
        <v>40</v>
      </c>
      <c r="D16" s="24" t="n">
        <v>70</v>
      </c>
      <c r="E16" s="9" t="s">
        <v>633</v>
      </c>
      <c r="F16" s="5" t="s">
        <v>634</v>
      </c>
      <c r="G16" s="5" t="s">
        <v>635</v>
      </c>
      <c r="H16" s="5"/>
      <c r="I16" s="9" t="s">
        <v>636</v>
      </c>
      <c r="J16" s="5" t="s">
        <v>592</v>
      </c>
      <c r="K16" s="5" t="s">
        <v>585</v>
      </c>
      <c r="L16" s="9"/>
      <c r="M16" s="11" t="n">
        <f aca="false">IF(OR(K16="Used",K16="Alternative"),1,0)</f>
        <v>1</v>
      </c>
      <c r="N16" s="11" t="str">
        <f aca="false">IF(K16="Used",A16,"")</f>
        <v>Bothrops jararaca</v>
      </c>
    </row>
    <row r="17" customFormat="false" ht="26.25" hidden="false" customHeight="true" outlineLevel="0" collapsed="false">
      <c r="A17" s="4" t="s">
        <v>71</v>
      </c>
      <c r="B17" s="11" t="str">
        <f aca="false">IFERROR(INDEX(Species!$B$2:$B$300,MATCH($A17,Species!$A$2:$A$300,0)),"NOT IN SPECIES")</f>
        <v>Jararaca</v>
      </c>
      <c r="C17" s="24" t="n">
        <v>70</v>
      </c>
      <c r="D17" s="24" t="n">
        <v>300</v>
      </c>
      <c r="E17" s="9" t="s">
        <v>643</v>
      </c>
      <c r="F17" s="5" t="s">
        <v>634</v>
      </c>
      <c r="G17" s="5" t="s">
        <v>635</v>
      </c>
      <c r="H17" s="5"/>
      <c r="I17" s="9" t="s">
        <v>624</v>
      </c>
      <c r="J17" s="5" t="s">
        <v>595</v>
      </c>
      <c r="K17" s="5" t="s">
        <v>597</v>
      </c>
      <c r="L17" s="9"/>
      <c r="M17" s="11" t="n">
        <f aca="false">IF(OR(K17="Used",K17="Alternative"),1,0)</f>
        <v>1</v>
      </c>
      <c r="N17" s="11" t="str">
        <f aca="false">IF(K17="Used",A17,"")</f>
        <v/>
      </c>
    </row>
    <row r="18" customFormat="false" ht="26.25" hidden="false" customHeight="true" outlineLevel="0" collapsed="false">
      <c r="A18" s="4" t="s">
        <v>35</v>
      </c>
      <c r="B18" s="11" t="str">
        <f aca="false">IFERROR(INDEX(Species!$B$2:$B$300,MATCH($A18,Species!$A$2:$A$300,0)),"NOT IN SPECIES")</f>
        <v>Jararacussu</v>
      </c>
      <c r="C18" s="24" t="n">
        <v>200</v>
      </c>
      <c r="D18" s="24" t="n">
        <v>321</v>
      </c>
      <c r="E18" s="9" t="s">
        <v>633</v>
      </c>
      <c r="F18" s="5" t="s">
        <v>634</v>
      </c>
      <c r="G18" s="5" t="s">
        <v>635</v>
      </c>
      <c r="H18" s="5"/>
      <c r="I18" s="9" t="s">
        <v>636</v>
      </c>
      <c r="J18" s="5" t="s">
        <v>592</v>
      </c>
      <c r="K18" s="5" t="s">
        <v>585</v>
      </c>
      <c r="L18" s="9"/>
      <c r="M18" s="11" t="n">
        <f aca="false">IF(OR(K18="Used",K18="Alternative"),1,0)</f>
        <v>1</v>
      </c>
      <c r="N18" s="11" t="str">
        <f aca="false">IF(K18="Used",A18,"")</f>
        <v>Bothrops jararacussu</v>
      </c>
    </row>
    <row r="19" customFormat="false" ht="26.25" hidden="false" customHeight="true" outlineLevel="0" collapsed="false">
      <c r="A19" s="4" t="s">
        <v>74</v>
      </c>
      <c r="B19" s="11" t="str">
        <f aca="false">IFERROR(INDEX(Species!$B$2:$B$300,MATCH($A19,Species!$A$2:$A$300,0)),"NOT IN SPECIES")</f>
        <v>Picado's pit viper</v>
      </c>
      <c r="C19" s="24" t="n">
        <v>5</v>
      </c>
      <c r="D19" s="24" t="n">
        <v>70</v>
      </c>
      <c r="E19" s="9" t="s">
        <v>633</v>
      </c>
      <c r="F19" s="5" t="s">
        <v>634</v>
      </c>
      <c r="G19" s="5" t="s">
        <v>635</v>
      </c>
      <c r="H19" s="5"/>
      <c r="I19" s="9" t="s">
        <v>636</v>
      </c>
      <c r="J19" s="5" t="s">
        <v>592</v>
      </c>
      <c r="K19" s="5" t="s">
        <v>585</v>
      </c>
      <c r="L19" s="9"/>
      <c r="M19" s="11" t="n">
        <f aca="false">IF(OR(K19="Used",K19="Alternative"),1,0)</f>
        <v>1</v>
      </c>
      <c r="N19" s="11" t="str">
        <f aca="false">IF(K19="Used",A19,"")</f>
        <v>Bothrops picadoi</v>
      </c>
    </row>
    <row r="20" customFormat="false" ht="26.25" hidden="false" customHeight="true" outlineLevel="0" collapsed="false">
      <c r="A20" s="4" t="s">
        <v>47</v>
      </c>
      <c r="B20" s="11" t="str">
        <f aca="false">IFERROR(INDEX(Species!$B$2:$B$300,MATCH($A20,Species!$A$2:$A$300,0)),"NOT IN SPECIES")</f>
        <v>Common Indian krait</v>
      </c>
      <c r="C20" s="24" t="n">
        <v>8</v>
      </c>
      <c r="D20" s="24" t="n">
        <v>20</v>
      </c>
      <c r="E20" s="9" t="s">
        <v>633</v>
      </c>
      <c r="F20" s="5" t="s">
        <v>634</v>
      </c>
      <c r="G20" s="5" t="s">
        <v>635</v>
      </c>
      <c r="H20" s="5"/>
      <c r="I20" s="9" t="s">
        <v>636</v>
      </c>
      <c r="J20" s="5" t="s">
        <v>592</v>
      </c>
      <c r="K20" s="5" t="s">
        <v>585</v>
      </c>
      <c r="L20" s="9"/>
      <c r="M20" s="11" t="n">
        <f aca="false">IF(OR(K20="Used",K20="Alternative"),1,0)</f>
        <v>1</v>
      </c>
      <c r="N20" s="11" t="str">
        <f aca="false">IF(K20="Used",A20,"")</f>
        <v>Bungarus caeruleus</v>
      </c>
    </row>
    <row r="21" customFormat="false" ht="26.25" hidden="false" customHeight="true" outlineLevel="0" collapsed="false">
      <c r="A21" s="4" t="s">
        <v>66</v>
      </c>
      <c r="B21" s="11" t="str">
        <f aca="false">IFERROR(INDEX(Species!$B$2:$B$300,MATCH($A21,Species!$A$2:$A$300,0)),"NOT IN SPECIES")</f>
        <v>Malayan krait</v>
      </c>
      <c r="C21" s="24" t="n">
        <v>5</v>
      </c>
      <c r="D21" s="24" t="n">
        <v>5</v>
      </c>
      <c r="E21" s="9" t="s">
        <v>633</v>
      </c>
      <c r="F21" s="5" t="s">
        <v>634</v>
      </c>
      <c r="G21" s="5" t="s">
        <v>635</v>
      </c>
      <c r="H21" s="5"/>
      <c r="I21" s="9" t="s">
        <v>636</v>
      </c>
      <c r="J21" s="5" t="s">
        <v>592</v>
      </c>
      <c r="K21" s="5" t="s">
        <v>585</v>
      </c>
      <c r="L21" s="9"/>
      <c r="M21" s="11" t="n">
        <f aca="false">IF(OR(K21="Used",K21="Alternative"),1,0)</f>
        <v>1</v>
      </c>
      <c r="N21" s="11" t="str">
        <f aca="false">IF(K21="Used",A21,"")</f>
        <v>Bungarus candidus</v>
      </c>
    </row>
    <row r="22" customFormat="false" ht="26.25" hidden="false" customHeight="true" outlineLevel="0" collapsed="false">
      <c r="A22" s="4" t="s">
        <v>67</v>
      </c>
      <c r="B22" s="11" t="str">
        <f aca="false">IFERROR(INDEX(Species!$B$2:$B$300,MATCH($A22,Species!$A$2:$A$300,0)),"NOT IN SPECIES")</f>
        <v>Banded krait</v>
      </c>
      <c r="C22" s="24" t="n">
        <v>20</v>
      </c>
      <c r="D22" s="24" t="n">
        <v>114</v>
      </c>
      <c r="E22" s="9" t="s">
        <v>633</v>
      </c>
      <c r="F22" s="5" t="s">
        <v>634</v>
      </c>
      <c r="G22" s="5" t="s">
        <v>635</v>
      </c>
      <c r="H22" s="5"/>
      <c r="I22" s="9" t="s">
        <v>636</v>
      </c>
      <c r="J22" s="5" t="s">
        <v>592</v>
      </c>
      <c r="K22" s="5" t="s">
        <v>585</v>
      </c>
      <c r="L22" s="9"/>
      <c r="M22" s="11" t="n">
        <f aca="false">IF(OR(K22="Used",K22="Alternative"),1,0)</f>
        <v>1</v>
      </c>
      <c r="N22" s="11" t="str">
        <f aca="false">IF(K22="Used",A22,"")</f>
        <v>Bungarus fasciatus</v>
      </c>
    </row>
    <row r="23" customFormat="false" ht="26.25" hidden="false" customHeight="true" outlineLevel="0" collapsed="false">
      <c r="A23" s="4" t="s">
        <v>75</v>
      </c>
      <c r="B23" s="11" t="str">
        <f aca="false">IFERROR(INDEX(Species!$B$2:$B$300,MATCH($A23,Species!$A$2:$A$300,0)),"NOT IN SPECIES")</f>
        <v>Malayan pit viper</v>
      </c>
      <c r="C23" s="24" t="n">
        <v>40</v>
      </c>
      <c r="D23" s="24" t="n">
        <v>60</v>
      </c>
      <c r="E23" s="9" t="s">
        <v>633</v>
      </c>
      <c r="F23" s="5" t="s">
        <v>634</v>
      </c>
      <c r="G23" s="5" t="s">
        <v>635</v>
      </c>
      <c r="H23" s="5"/>
      <c r="I23" s="9" t="s">
        <v>636</v>
      </c>
      <c r="J23" s="5" t="s">
        <v>592</v>
      </c>
      <c r="K23" s="5" t="s">
        <v>585</v>
      </c>
      <c r="L23" s="9"/>
      <c r="M23" s="11" t="n">
        <f aca="false">IF(OR(K23="Used",K23="Alternative"),1,0)</f>
        <v>1</v>
      </c>
      <c r="N23" s="11" t="str">
        <f aca="false">IF(K23="Used",A23,"")</f>
        <v>Calloselasma rhodostoma</v>
      </c>
    </row>
    <row r="24" customFormat="false" ht="26.25" hidden="false" customHeight="true" outlineLevel="0" collapsed="false">
      <c r="A24" s="4" t="s">
        <v>85</v>
      </c>
      <c r="B24" s="11" t="str">
        <f aca="false">IFERROR(INDEX(Species!$B$2:$B$300,MATCH($A24,Species!$A$2:$A$300,0)),"NOT IN SPECIES")</f>
        <v>Common night adder</v>
      </c>
      <c r="C24" s="24" t="n">
        <v>20</v>
      </c>
      <c r="D24" s="24" t="n">
        <v>30</v>
      </c>
      <c r="E24" s="9" t="s">
        <v>633</v>
      </c>
      <c r="F24" s="5" t="s">
        <v>634</v>
      </c>
      <c r="G24" s="5" t="s">
        <v>635</v>
      </c>
      <c r="H24" s="5"/>
      <c r="I24" s="9" t="s">
        <v>636</v>
      </c>
      <c r="J24" s="5" t="s">
        <v>592</v>
      </c>
      <c r="K24" s="5" t="s">
        <v>585</v>
      </c>
      <c r="L24" s="9"/>
      <c r="M24" s="11" t="n">
        <f aca="false">IF(OR(K24="Used",K24="Alternative"),1,0)</f>
        <v>1</v>
      </c>
      <c r="N24" s="11" t="str">
        <f aca="false">IF(K24="Used",A24,"")</f>
        <v>Causus rhombeatus</v>
      </c>
    </row>
    <row r="25" customFormat="false" ht="26.25" hidden="false" customHeight="true" outlineLevel="0" collapsed="false">
      <c r="A25" s="4" t="s">
        <v>36</v>
      </c>
      <c r="B25" s="11" t="str">
        <f aca="false">IFERROR(INDEX(Species!$B$2:$B$300,MATCH($A25,Species!$A$2:$A$300,0)),"NOT IN SPECIES")</f>
        <v>Desert horned viper</v>
      </c>
      <c r="C25" s="24" t="n">
        <v>20</v>
      </c>
      <c r="D25" s="24" t="n">
        <v>45</v>
      </c>
      <c r="E25" s="9" t="s">
        <v>633</v>
      </c>
      <c r="F25" s="5" t="s">
        <v>634</v>
      </c>
      <c r="G25" s="5" t="s">
        <v>635</v>
      </c>
      <c r="H25" s="5"/>
      <c r="I25" s="9" t="s">
        <v>636</v>
      </c>
      <c r="J25" s="5" t="s">
        <v>592</v>
      </c>
      <c r="K25" s="5" t="s">
        <v>585</v>
      </c>
      <c r="L25" s="9"/>
      <c r="M25" s="11" t="n">
        <f aca="false">IF(OR(K25="Used",K25="Alternative"),1,0)</f>
        <v>1</v>
      </c>
      <c r="N25" s="11" t="str">
        <f aca="false">IF(K25="Used",A25,"")</f>
        <v>Cerastes cerastes</v>
      </c>
    </row>
    <row r="26" customFormat="false" ht="26.25" hidden="false" customHeight="true" outlineLevel="0" collapsed="false">
      <c r="A26" s="4" t="s">
        <v>43</v>
      </c>
      <c r="B26" s="11" t="str">
        <f aca="false">IFERROR(INDEX(Species!$B$2:$B$300,MATCH($A26,Species!$A$2:$A$300,0)),"NOT IN SPECIES")</f>
        <v>Eastern diamondback rattlesnake</v>
      </c>
      <c r="C26" s="24" t="n">
        <v>200</v>
      </c>
      <c r="D26" s="24" t="n">
        <v>850</v>
      </c>
      <c r="E26" s="9" t="s">
        <v>633</v>
      </c>
      <c r="F26" s="5" t="s">
        <v>634</v>
      </c>
      <c r="G26" s="5" t="s">
        <v>635</v>
      </c>
      <c r="H26" s="5"/>
      <c r="I26" s="9" t="s">
        <v>636</v>
      </c>
      <c r="J26" s="5" t="s">
        <v>592</v>
      </c>
      <c r="K26" s="5" t="s">
        <v>585</v>
      </c>
      <c r="L26" s="9"/>
      <c r="M26" s="11" t="n">
        <f aca="false">IF(OR(K26="Used",K26="Alternative"),1,0)</f>
        <v>1</v>
      </c>
      <c r="N26" s="11" t="str">
        <f aca="false">IF(K26="Used",A26,"")</f>
        <v>Crotalus adamanteus</v>
      </c>
    </row>
    <row r="27" customFormat="false" ht="26.25" hidden="false" customHeight="true" outlineLevel="0" collapsed="false">
      <c r="A27" s="4" t="s">
        <v>56</v>
      </c>
      <c r="B27" s="11" t="str">
        <f aca="false">IFERROR(INDEX(Species!$B$2:$B$300,MATCH($A27,Species!$A$2:$A$300,0)),"NOT IN SPECIES")</f>
        <v>Western diamondback rattlesnake</v>
      </c>
      <c r="C27" s="24" t="n">
        <v>175</v>
      </c>
      <c r="D27" s="24" t="n">
        <v>600</v>
      </c>
      <c r="E27" s="9" t="s">
        <v>633</v>
      </c>
      <c r="F27" s="5" t="s">
        <v>634</v>
      </c>
      <c r="G27" s="5" t="s">
        <v>635</v>
      </c>
      <c r="H27" s="5"/>
      <c r="I27" s="9" t="s">
        <v>636</v>
      </c>
      <c r="J27" s="5" t="s">
        <v>592</v>
      </c>
      <c r="K27" s="5" t="s">
        <v>585</v>
      </c>
      <c r="L27" s="9"/>
      <c r="M27" s="11" t="n">
        <f aca="false">IF(OR(K27="Used",K27="Alternative"),1,0)</f>
        <v>1</v>
      </c>
      <c r="N27" s="11" t="str">
        <f aca="false">IF(K27="Used",A27,"")</f>
        <v>Crotalus atrox</v>
      </c>
    </row>
    <row r="28" customFormat="false" ht="26.25" hidden="false" customHeight="true" outlineLevel="0" collapsed="false">
      <c r="A28" s="4" t="s">
        <v>84</v>
      </c>
      <c r="B28" s="11" t="str">
        <f aca="false">IFERROR(INDEX(Species!$B$2:$B$300,MATCH($A28,Species!$A$2:$A$300,0)),"NOT IN SPECIES")</f>
        <v>Sidewinder</v>
      </c>
      <c r="C28" s="24" t="n">
        <v>18</v>
      </c>
      <c r="D28" s="24" t="n">
        <v>50</v>
      </c>
      <c r="E28" s="9" t="s">
        <v>633</v>
      </c>
      <c r="F28" s="5" t="s">
        <v>634</v>
      </c>
      <c r="G28" s="5" t="s">
        <v>635</v>
      </c>
      <c r="H28" s="5"/>
      <c r="I28" s="9" t="s">
        <v>636</v>
      </c>
      <c r="J28" s="5" t="s">
        <v>592</v>
      </c>
      <c r="K28" s="5" t="s">
        <v>585</v>
      </c>
      <c r="L28" s="9"/>
      <c r="M28" s="11" t="n">
        <f aca="false">IF(OR(K28="Used",K28="Alternative"),1,0)</f>
        <v>1</v>
      </c>
      <c r="N28" s="11" t="str">
        <f aca="false">IF(K28="Used",A28,"")</f>
        <v>Crotalus cerastes</v>
      </c>
    </row>
    <row r="29" customFormat="false" ht="26.25" hidden="false" customHeight="true" outlineLevel="0" collapsed="false">
      <c r="A29" s="4" t="s">
        <v>34</v>
      </c>
      <c r="B29" s="11" t="str">
        <f aca="false">IFERROR(INDEX(Species!$B$2:$B$300,MATCH($A29,Species!$A$2:$A$300,0)),"NOT IN SPECIES")</f>
        <v>Neotropical rattlesnake</v>
      </c>
      <c r="C29" s="24" t="n">
        <v>20</v>
      </c>
      <c r="D29" s="24" t="n">
        <v>100</v>
      </c>
      <c r="E29" s="9" t="s">
        <v>633</v>
      </c>
      <c r="F29" s="5" t="s">
        <v>634</v>
      </c>
      <c r="G29" s="5" t="s">
        <v>635</v>
      </c>
      <c r="H29" s="5"/>
      <c r="I29" s="9" t="s">
        <v>636</v>
      </c>
      <c r="J29" s="5" t="s">
        <v>592</v>
      </c>
      <c r="K29" s="5" t="s">
        <v>585</v>
      </c>
      <c r="L29" s="9"/>
      <c r="M29" s="11" t="n">
        <f aca="false">IF(OR(K29="Used",K29="Alternative"),1,0)</f>
        <v>1</v>
      </c>
      <c r="N29" s="11" t="str">
        <f aca="false">IF(K29="Used",A29,"")</f>
        <v>Crotalus durissus</v>
      </c>
    </row>
    <row r="30" customFormat="false" ht="26.25" hidden="false" customHeight="true" outlineLevel="0" collapsed="false">
      <c r="A30" s="4" t="s">
        <v>34</v>
      </c>
      <c r="B30" s="11" t="str">
        <f aca="false">IFERROR(INDEX(Species!$B$2:$B$300,MATCH($A30,Species!$A$2:$A$300,0)),"NOT IN SPECIES")</f>
        <v>Neotropical rattlesnake</v>
      </c>
      <c r="C30" s="24" t="n">
        <v>100</v>
      </c>
      <c r="D30" s="24" t="n">
        <v>300</v>
      </c>
      <c r="E30" s="9" t="s">
        <v>644</v>
      </c>
      <c r="F30" s="5" t="s">
        <v>634</v>
      </c>
      <c r="G30" s="5" t="s">
        <v>635</v>
      </c>
      <c r="H30" s="5"/>
      <c r="I30" s="9" t="s">
        <v>624</v>
      </c>
      <c r="J30" s="5" t="s">
        <v>595</v>
      </c>
      <c r="K30" s="5" t="s">
        <v>597</v>
      </c>
      <c r="L30" s="9"/>
      <c r="M30" s="11" t="n">
        <f aca="false">IF(OR(K30="Used",K30="Alternative"),1,0)</f>
        <v>1</v>
      </c>
      <c r="N30" s="11" t="str">
        <f aca="false">IF(K30="Used",A30,"")</f>
        <v/>
      </c>
    </row>
    <row r="31" customFormat="false" ht="26.25" hidden="false" customHeight="true" outlineLevel="0" collapsed="false">
      <c r="A31" s="4" t="s">
        <v>64</v>
      </c>
      <c r="B31" s="11" t="str">
        <f aca="false">IFERROR(INDEX(Species!$B$2:$B$300,MATCH($A31,Species!$A$2:$A$300,0)),"NOT IN SPECIES")</f>
        <v>Timber rattlesnake</v>
      </c>
      <c r="C31" s="24" t="n">
        <v>75</v>
      </c>
      <c r="D31" s="24" t="n">
        <v>210</v>
      </c>
      <c r="E31" s="9" t="s">
        <v>633</v>
      </c>
      <c r="F31" s="5" t="s">
        <v>634</v>
      </c>
      <c r="G31" s="5" t="s">
        <v>635</v>
      </c>
      <c r="H31" s="5"/>
      <c r="I31" s="9" t="s">
        <v>636</v>
      </c>
      <c r="J31" s="5" t="s">
        <v>592</v>
      </c>
      <c r="K31" s="5" t="s">
        <v>585</v>
      </c>
      <c r="L31" s="9"/>
      <c r="M31" s="11" t="n">
        <f aca="false">IF(OR(K31="Used",K31="Alternative"),1,0)</f>
        <v>1</v>
      </c>
      <c r="N31" s="11" t="str">
        <f aca="false">IF(K31="Used",A31,"")</f>
        <v>Crotalus horridus</v>
      </c>
    </row>
    <row r="32" customFormat="false" ht="26.25" hidden="false" customHeight="true" outlineLevel="0" collapsed="false">
      <c r="A32" s="4" t="s">
        <v>88</v>
      </c>
      <c r="B32" s="11" t="str">
        <f aca="false">IFERROR(INDEX(Species!$B$2:$B$300,MATCH($A32,Species!$A$2:$A$300,0)),"NOT IN SPECIES")</f>
        <v>Mottled rock rattlesnake</v>
      </c>
      <c r="C32" s="24" t="n">
        <v>129</v>
      </c>
      <c r="D32" s="24" t="n">
        <v>129</v>
      </c>
      <c r="E32" s="9" t="s">
        <v>633</v>
      </c>
      <c r="F32" s="5" t="s">
        <v>634</v>
      </c>
      <c r="G32" s="5" t="s">
        <v>635</v>
      </c>
      <c r="H32" s="5"/>
      <c r="I32" s="9" t="s">
        <v>636</v>
      </c>
      <c r="J32" s="5" t="s">
        <v>592</v>
      </c>
      <c r="K32" s="5" t="s">
        <v>585</v>
      </c>
      <c r="L32" s="9" t="s">
        <v>645</v>
      </c>
      <c r="M32" s="11" t="n">
        <f aca="false">IF(OR(K32="Used",K32="Alternative"),1,0)</f>
        <v>1</v>
      </c>
      <c r="N32" s="11" t="str">
        <f aca="false">IF(K32="Used",A32,"")</f>
        <v>Crotalus lepidus</v>
      </c>
    </row>
    <row r="33" customFormat="false" ht="26.25" hidden="false" customHeight="true" outlineLevel="0" collapsed="false">
      <c r="A33" s="4" t="s">
        <v>53</v>
      </c>
      <c r="B33" s="11" t="str">
        <f aca="false">IFERROR(INDEX(Species!$B$2:$B$300,MATCH($A33,Species!$A$2:$A$300,0)),"NOT IN SPECIES")</f>
        <v>Western rattlesnake</v>
      </c>
      <c r="C33" s="24" t="n">
        <v>35</v>
      </c>
      <c r="D33" s="24" t="n">
        <v>250</v>
      </c>
      <c r="E33" s="9" t="s">
        <v>633</v>
      </c>
      <c r="F33" s="5" t="s">
        <v>634</v>
      </c>
      <c r="G33" s="5" t="s">
        <v>635</v>
      </c>
      <c r="H33" s="5"/>
      <c r="I33" s="9" t="s">
        <v>636</v>
      </c>
      <c r="J33" s="5" t="s">
        <v>592</v>
      </c>
      <c r="K33" s="5" t="s">
        <v>585</v>
      </c>
      <c r="L33" s="9"/>
      <c r="M33" s="11" t="n">
        <f aca="false">IF(OR(K33="Used",K33="Alternative"),1,0)</f>
        <v>1</v>
      </c>
      <c r="N33" s="11" t="str">
        <f aca="false">IF(K33="Used",A33,"")</f>
        <v>Crotalus oreganus</v>
      </c>
    </row>
    <row r="34" customFormat="false" ht="26.25" hidden="false" customHeight="true" outlineLevel="0" collapsed="false">
      <c r="A34" s="4" t="s">
        <v>68</v>
      </c>
      <c r="B34" s="11" t="str">
        <f aca="false">IFERROR(INDEX(Species!$B$2:$B$300,MATCH($A34,Species!$A$2:$A$300,0)),"NOT IN SPECIES")</f>
        <v>Red diamond rattlesnake</v>
      </c>
      <c r="C34" s="24" t="n">
        <v>120</v>
      </c>
      <c r="D34" s="24" t="n">
        <v>450</v>
      </c>
      <c r="E34" s="9" t="s">
        <v>633</v>
      </c>
      <c r="F34" s="5" t="s">
        <v>634</v>
      </c>
      <c r="G34" s="5" t="s">
        <v>635</v>
      </c>
      <c r="H34" s="5"/>
      <c r="I34" s="9" t="s">
        <v>636</v>
      </c>
      <c r="J34" s="5" t="s">
        <v>592</v>
      </c>
      <c r="K34" s="5" t="s">
        <v>585</v>
      </c>
      <c r="L34" s="9"/>
      <c r="M34" s="11" t="n">
        <f aca="false">IF(OR(K34="Used",K34="Alternative"),1,0)</f>
        <v>1</v>
      </c>
      <c r="N34" s="11" t="str">
        <f aca="false">IF(K34="Used",A34,"")</f>
        <v>Crotalus ruber</v>
      </c>
    </row>
    <row r="35" customFormat="false" ht="26.25" hidden="false" customHeight="true" outlineLevel="0" collapsed="false">
      <c r="A35" s="4" t="s">
        <v>32</v>
      </c>
      <c r="B35" s="11" t="str">
        <f aca="false">IFERROR(INDEX(Species!$B$2:$B$300,MATCH($A35,Species!$A$2:$A$300,0)),"NOT IN SPECIES")</f>
        <v>Mojave rattlesnake</v>
      </c>
      <c r="C35" s="24" t="n">
        <v>50</v>
      </c>
      <c r="D35" s="24" t="n">
        <v>150</v>
      </c>
      <c r="E35" s="9" t="s">
        <v>633</v>
      </c>
      <c r="F35" s="5" t="s">
        <v>634</v>
      </c>
      <c r="G35" s="5" t="s">
        <v>635</v>
      </c>
      <c r="H35" s="5"/>
      <c r="I35" s="9" t="s">
        <v>636</v>
      </c>
      <c r="J35" s="5" t="s">
        <v>592</v>
      </c>
      <c r="K35" s="5" t="s">
        <v>585</v>
      </c>
      <c r="L35" s="9"/>
      <c r="M35" s="11" t="n">
        <f aca="false">IF(OR(K35="Used",K35="Alternative"),1,0)</f>
        <v>1</v>
      </c>
      <c r="N35" s="11" t="str">
        <f aca="false">IF(K35="Used",A35,"")</f>
        <v>Crotalus scutulatus</v>
      </c>
    </row>
    <row r="36" customFormat="false" ht="26.25" hidden="false" customHeight="true" outlineLevel="0" collapsed="false">
      <c r="A36" s="4" t="s">
        <v>48</v>
      </c>
      <c r="B36" s="11" t="str">
        <f aca="false">IFERROR(INDEX(Species!$B$2:$B$300,MATCH($A36,Species!$A$2:$A$300,0)),"NOT IN SPECIES")</f>
        <v>Tiger rattlesnake</v>
      </c>
      <c r="C36" s="24" t="n">
        <v>6</v>
      </c>
      <c r="D36" s="24" t="n">
        <v>11</v>
      </c>
      <c r="E36" s="9" t="s">
        <v>633</v>
      </c>
      <c r="F36" s="5" t="s">
        <v>634</v>
      </c>
      <c r="G36" s="5" t="s">
        <v>635</v>
      </c>
      <c r="H36" s="5"/>
      <c r="I36" s="9" t="s">
        <v>636</v>
      </c>
      <c r="J36" s="5" t="s">
        <v>592</v>
      </c>
      <c r="K36" s="5" t="s">
        <v>585</v>
      </c>
      <c r="L36" s="9"/>
      <c r="M36" s="11" t="n">
        <f aca="false">IF(OR(K36="Used",K36="Alternative"),1,0)</f>
        <v>1</v>
      </c>
      <c r="N36" s="11" t="str">
        <f aca="false">IF(K36="Used",A36,"")</f>
        <v>Crotalus tigris</v>
      </c>
    </row>
    <row r="37" customFormat="false" ht="26.25" hidden="false" customHeight="true" outlineLevel="0" collapsed="false">
      <c r="A37" s="4" t="s">
        <v>18</v>
      </c>
      <c r="B37" s="11" t="str">
        <f aca="false">IFERROR(INDEX(Species!$B$2:$B$300,MATCH($A37,Species!$A$2:$A$300,0)),"NOT IN SPECIES")</f>
        <v>Russell's viper</v>
      </c>
      <c r="C37" s="24" t="n">
        <v>130</v>
      </c>
      <c r="D37" s="24" t="n">
        <v>250</v>
      </c>
      <c r="E37" s="9" t="s">
        <v>633</v>
      </c>
      <c r="F37" s="5" t="s">
        <v>634</v>
      </c>
      <c r="G37" s="5" t="s">
        <v>635</v>
      </c>
      <c r="H37" s="5"/>
      <c r="I37" s="9" t="s">
        <v>636</v>
      </c>
      <c r="J37" s="5" t="s">
        <v>592</v>
      </c>
      <c r="K37" s="5" t="s">
        <v>585</v>
      </c>
      <c r="L37" s="9"/>
      <c r="M37" s="11" t="n">
        <f aca="false">IF(OR(K37="Used",K37="Alternative"),1,0)</f>
        <v>1</v>
      </c>
      <c r="N37" s="11" t="str">
        <f aca="false">IF(K37="Used",A37,"")</f>
        <v>Daboia russelii</v>
      </c>
    </row>
    <row r="38" customFormat="false" ht="26.25" hidden="false" customHeight="true" outlineLevel="0" collapsed="false">
      <c r="A38" s="4" t="s">
        <v>45</v>
      </c>
      <c r="B38" s="11" t="str">
        <f aca="false">IFERROR(INDEX(Species!$B$2:$B$300,MATCH($A38,Species!$A$2:$A$300,0)),"NOT IN SPECIES")</f>
        <v>Eastern green mamba</v>
      </c>
      <c r="C38" s="24" t="n">
        <v>60</v>
      </c>
      <c r="D38" s="24" t="n">
        <v>95</v>
      </c>
      <c r="E38" s="9" t="s">
        <v>633</v>
      </c>
      <c r="F38" s="5" t="s">
        <v>634</v>
      </c>
      <c r="G38" s="5" t="s">
        <v>635</v>
      </c>
      <c r="H38" s="5"/>
      <c r="I38" s="9" t="s">
        <v>636</v>
      </c>
      <c r="J38" s="5" t="s">
        <v>592</v>
      </c>
      <c r="K38" s="5" t="s">
        <v>585</v>
      </c>
      <c r="L38" s="9"/>
      <c r="M38" s="11" t="n">
        <f aca="false">IF(OR(K38="Used",K38="Alternative"),1,0)</f>
        <v>1</v>
      </c>
      <c r="N38" s="11" t="str">
        <f aca="false">IF(K38="Used",A38,"")</f>
        <v>Dendroaspis angusticeps</v>
      </c>
    </row>
    <row r="39" customFormat="false" ht="26.25" hidden="false" customHeight="true" outlineLevel="0" collapsed="false">
      <c r="A39" s="4" t="s">
        <v>24</v>
      </c>
      <c r="B39" s="11" t="str">
        <f aca="false">IFERROR(INDEX(Species!$B$2:$B$300,MATCH($A39,Species!$A$2:$A$300,0)),"NOT IN SPECIES")</f>
        <v>Black mamba</v>
      </c>
      <c r="C39" s="24" t="n">
        <v>50</v>
      </c>
      <c r="D39" s="24" t="n">
        <v>100</v>
      </c>
      <c r="E39" s="9" t="s">
        <v>637</v>
      </c>
      <c r="F39" s="5" t="s">
        <v>634</v>
      </c>
      <c r="G39" s="5" t="s">
        <v>635</v>
      </c>
      <c r="H39" s="5"/>
      <c r="I39" s="9" t="s">
        <v>636</v>
      </c>
      <c r="J39" s="5" t="s">
        <v>592</v>
      </c>
      <c r="K39" s="5" t="s">
        <v>585</v>
      </c>
      <c r="L39" s="9"/>
      <c r="M39" s="11" t="n">
        <f aca="false">IF(OR(K39="Used",K39="Alternative"),1,0)</f>
        <v>1</v>
      </c>
      <c r="N39" s="11" t="str">
        <f aca="false">IF(K39="Used",A39,"")</f>
        <v>Dendroaspis polylepis</v>
      </c>
    </row>
    <row r="40" customFormat="false" ht="26.25" hidden="false" customHeight="true" outlineLevel="0" collapsed="false">
      <c r="A40" s="4" t="s">
        <v>24</v>
      </c>
      <c r="B40" s="11" t="str">
        <f aca="false">IFERROR(INDEX(Species!$B$2:$B$300,MATCH($A40,Species!$A$2:$A$300,0)),"NOT IN SPECIES")</f>
        <v>Black mamba</v>
      </c>
      <c r="C40" s="24" t="n">
        <v>100</v>
      </c>
      <c r="D40" s="24" t="n">
        <v>400</v>
      </c>
      <c r="E40" s="9" t="s">
        <v>646</v>
      </c>
      <c r="F40" s="5" t="s">
        <v>634</v>
      </c>
      <c r="G40" s="5" t="s">
        <v>635</v>
      </c>
      <c r="H40" s="5"/>
      <c r="I40" s="9" t="s">
        <v>624</v>
      </c>
      <c r="J40" s="5" t="s">
        <v>595</v>
      </c>
      <c r="K40" s="5" t="s">
        <v>597</v>
      </c>
      <c r="L40" s="9" t="s">
        <v>647</v>
      </c>
      <c r="M40" s="11" t="n">
        <f aca="false">IF(OR(K40="Used",K40="Alternative"),1,0)</f>
        <v>1</v>
      </c>
      <c r="N40" s="11" t="str">
        <f aca="false">IF(K40="Used",A40,"")</f>
        <v/>
      </c>
    </row>
    <row r="41" customFormat="false" ht="26.25" hidden="false" customHeight="true" outlineLevel="0" collapsed="false">
      <c r="A41" s="4" t="s">
        <v>58</v>
      </c>
      <c r="B41" s="11" t="str">
        <f aca="false">IFERROR(INDEX(Species!$B$2:$B$300,MATCH($A41,Species!$A$2:$A$300,0)),"NOT IN SPECIES")</f>
        <v>Western green mamba</v>
      </c>
      <c r="C41" s="24" t="n">
        <v>60</v>
      </c>
      <c r="D41" s="24" t="n">
        <v>100</v>
      </c>
      <c r="E41" s="9" t="s">
        <v>633</v>
      </c>
      <c r="F41" s="5" t="s">
        <v>634</v>
      </c>
      <c r="G41" s="5" t="s">
        <v>635</v>
      </c>
      <c r="H41" s="5"/>
      <c r="I41" s="9" t="s">
        <v>636</v>
      </c>
      <c r="J41" s="5" t="s">
        <v>592</v>
      </c>
      <c r="K41" s="5" t="s">
        <v>585</v>
      </c>
      <c r="L41" s="9"/>
      <c r="M41" s="11" t="n">
        <f aca="false">IF(OR(K41="Used",K41="Alternative"),1,0)</f>
        <v>1</v>
      </c>
      <c r="N41" s="11" t="str">
        <f aca="false">IF(K41="Used",A41,"")</f>
        <v>Dendroaspis viridis</v>
      </c>
    </row>
    <row r="42" customFormat="false" ht="26.25" hidden="false" customHeight="true" outlineLevel="0" collapsed="false">
      <c r="A42" s="4" t="s">
        <v>54</v>
      </c>
      <c r="B42" s="11" t="str">
        <f aca="false">IFERROR(INDEX(Species!$B$2:$B$300,MATCH($A42,Species!$A$2:$A$300,0)),"NOT IN SPECIES")</f>
        <v>Boomslang</v>
      </c>
      <c r="C42" s="24" t="n">
        <v>1.6</v>
      </c>
      <c r="D42" s="24" t="n">
        <v>8</v>
      </c>
      <c r="E42" s="9" t="s">
        <v>633</v>
      </c>
      <c r="F42" s="5" t="s">
        <v>634</v>
      </c>
      <c r="G42" s="5" t="s">
        <v>635</v>
      </c>
      <c r="H42" s="5"/>
      <c r="I42" s="9" t="s">
        <v>636</v>
      </c>
      <c r="J42" s="5" t="s">
        <v>592</v>
      </c>
      <c r="K42" s="5" t="s">
        <v>585</v>
      </c>
      <c r="L42" s="9"/>
      <c r="M42" s="11" t="n">
        <f aca="false">IF(OR(K42="Used",K42="Alternative"),1,0)</f>
        <v>1</v>
      </c>
      <c r="N42" s="11" t="str">
        <f aca="false">IF(K42="Used",A42,"")</f>
        <v>Dispholidus typus</v>
      </c>
    </row>
    <row r="43" customFormat="false" ht="26.25" hidden="false" customHeight="true" outlineLevel="0" collapsed="false">
      <c r="A43" s="4" t="s">
        <v>39</v>
      </c>
      <c r="B43" s="11" t="str">
        <f aca="false">IFERROR(INDEX(Species!$B$2:$B$300,MATCH($A43,Species!$A$2:$A$300,0)),"NOT IN SPECIES")</f>
        <v>Saw-scaled viper</v>
      </c>
      <c r="C43" s="24" t="n">
        <v>5</v>
      </c>
      <c r="D43" s="24" t="n">
        <v>70</v>
      </c>
      <c r="E43" s="9" t="s">
        <v>633</v>
      </c>
      <c r="F43" s="5" t="s">
        <v>634</v>
      </c>
      <c r="G43" s="5" t="s">
        <v>635</v>
      </c>
      <c r="H43" s="5"/>
      <c r="I43" s="9" t="s">
        <v>636</v>
      </c>
      <c r="J43" s="5" t="s">
        <v>592</v>
      </c>
      <c r="K43" s="5" t="s">
        <v>585</v>
      </c>
      <c r="L43" s="9"/>
      <c r="M43" s="11" t="n">
        <f aca="false">IF(OR(K43="Used",K43="Alternative"),1,0)</f>
        <v>1</v>
      </c>
      <c r="N43" s="11" t="str">
        <f aca="false">IF(K43="Used",A43,"")</f>
        <v>Echis carinatus</v>
      </c>
    </row>
    <row r="44" customFormat="false" ht="26.25" hidden="false" customHeight="true" outlineLevel="0" collapsed="false">
      <c r="A44" s="4" t="s">
        <v>89</v>
      </c>
      <c r="B44" s="11" t="str">
        <f aca="false">IFERROR(INDEX(Species!$B$2:$B$300,MATCH($A44,Species!$A$2:$A$300,0)),"NOT IN SPECIES")</f>
        <v>Mamushi</v>
      </c>
      <c r="C44" s="24" t="n">
        <v>1</v>
      </c>
      <c r="D44" s="24" t="n">
        <v>7</v>
      </c>
      <c r="E44" s="9" t="s">
        <v>633</v>
      </c>
      <c r="F44" s="5" t="s">
        <v>634</v>
      </c>
      <c r="G44" s="5" t="s">
        <v>635</v>
      </c>
      <c r="H44" s="5"/>
      <c r="I44" s="9" t="s">
        <v>636</v>
      </c>
      <c r="J44" s="5" t="s">
        <v>592</v>
      </c>
      <c r="K44" s="5" t="s">
        <v>585</v>
      </c>
      <c r="L44" s="9"/>
      <c r="M44" s="11" t="n">
        <f aca="false">IF(OR(K44="Used",K44="Alternative"),1,0)</f>
        <v>1</v>
      </c>
      <c r="N44" s="11" t="str">
        <f aca="false">IF(K44="Used",A44,"")</f>
        <v>Gloydius blomhoffii</v>
      </c>
    </row>
    <row r="45" customFormat="false" ht="26.25" hidden="false" customHeight="true" outlineLevel="0" collapsed="false">
      <c r="A45" s="4" t="s">
        <v>37</v>
      </c>
      <c r="B45" s="11" t="str">
        <f aca="false">IFERROR(INDEX(Species!$B$2:$B$300,MATCH($A45,Species!$A$2:$A$300,0)),"NOT IN SPECIES")</f>
        <v>Rinkhals</v>
      </c>
      <c r="C45" s="24" t="n">
        <v>80</v>
      </c>
      <c r="D45" s="24" t="n">
        <v>120</v>
      </c>
      <c r="E45" s="9" t="s">
        <v>633</v>
      </c>
      <c r="F45" s="5" t="s">
        <v>634</v>
      </c>
      <c r="G45" s="5" t="s">
        <v>635</v>
      </c>
      <c r="H45" s="5"/>
      <c r="I45" s="9" t="s">
        <v>636</v>
      </c>
      <c r="J45" s="5" t="s">
        <v>592</v>
      </c>
      <c r="K45" s="5" t="s">
        <v>585</v>
      </c>
      <c r="L45" s="9"/>
      <c r="M45" s="11" t="n">
        <f aca="false">IF(OR(K45="Used",K45="Alternative"),1,0)</f>
        <v>1</v>
      </c>
      <c r="N45" s="11" t="str">
        <f aca="false">IF(K45="Used",A45,"")</f>
        <v>Hemachatus haemachatus</v>
      </c>
    </row>
    <row r="46" customFormat="false" ht="26.25" hidden="false" customHeight="true" outlineLevel="0" collapsed="false">
      <c r="A46" s="4" t="s">
        <v>79</v>
      </c>
      <c r="B46" s="11" t="str">
        <f aca="false">IFERROR(INDEX(Species!$B$2:$B$300,MATCH($A46,Species!$A$2:$A$300,0)),"NOT IN SPECIES")</f>
        <v>Annulated sea snake</v>
      </c>
      <c r="C46" s="24" t="n">
        <v>5</v>
      </c>
      <c r="D46" s="24" t="n">
        <v>8</v>
      </c>
      <c r="E46" s="9" t="s">
        <v>633</v>
      </c>
      <c r="F46" s="5" t="s">
        <v>634</v>
      </c>
      <c r="G46" s="5" t="s">
        <v>635</v>
      </c>
      <c r="H46" s="5"/>
      <c r="I46" s="9" t="s">
        <v>636</v>
      </c>
      <c r="J46" s="5" t="s">
        <v>592</v>
      </c>
      <c r="K46" s="5" t="s">
        <v>585</v>
      </c>
      <c r="L46" s="9"/>
      <c r="M46" s="11" t="n">
        <f aca="false">IF(OR(K46="Used",K46="Alternative"),1,0)</f>
        <v>1</v>
      </c>
      <c r="N46" s="11" t="str">
        <f aca="false">IF(K46="Used",A46,"")</f>
        <v>Hydrophis cyanocinctus</v>
      </c>
    </row>
    <row r="47" customFormat="false" ht="26.25" hidden="false" customHeight="true" outlineLevel="0" collapsed="false">
      <c r="A47" s="4" t="s">
        <v>61</v>
      </c>
      <c r="B47" s="11" t="str">
        <f aca="false">IFERROR(INDEX(Species!$B$2:$B$300,MATCH($A47,Species!$A$2:$A$300,0)),"NOT IN SPECIES")</f>
        <v>Elegant sea snake</v>
      </c>
      <c r="C47" s="24" t="n">
        <v>9</v>
      </c>
      <c r="D47" s="24" t="n">
        <v>24</v>
      </c>
      <c r="E47" s="9" t="s">
        <v>633</v>
      </c>
      <c r="F47" s="5" t="s">
        <v>634</v>
      </c>
      <c r="G47" s="5" t="s">
        <v>635</v>
      </c>
      <c r="H47" s="5"/>
      <c r="I47" s="9" t="s">
        <v>636</v>
      </c>
      <c r="J47" s="5" t="s">
        <v>592</v>
      </c>
      <c r="K47" s="5" t="s">
        <v>585</v>
      </c>
      <c r="L47" s="9"/>
      <c r="M47" s="11" t="n">
        <f aca="false">IF(OR(K47="Used",K47="Alternative"),1,0)</f>
        <v>1</v>
      </c>
      <c r="N47" s="11" t="str">
        <f aca="false">IF(K47="Used",A47,"")</f>
        <v>Hydrophis elegans</v>
      </c>
    </row>
    <row r="48" customFormat="false" ht="26.25" hidden="false" customHeight="true" outlineLevel="0" collapsed="false">
      <c r="A48" s="4" t="s">
        <v>80</v>
      </c>
      <c r="B48" s="11" t="str">
        <f aca="false">IFERROR(INDEX(Species!$B$2:$B$300,MATCH($A48,Species!$A$2:$A$300,0)),"NOT IN SPECIES")</f>
        <v>Hardwicke's sea snake</v>
      </c>
      <c r="C48" s="24" t="n">
        <v>2.4</v>
      </c>
      <c r="D48" s="24" t="n">
        <v>15</v>
      </c>
      <c r="E48" s="9" t="s">
        <v>633</v>
      </c>
      <c r="F48" s="5" t="s">
        <v>634</v>
      </c>
      <c r="G48" s="5" t="s">
        <v>635</v>
      </c>
      <c r="H48" s="5"/>
      <c r="I48" s="9" t="s">
        <v>636</v>
      </c>
      <c r="J48" s="5" t="s">
        <v>592</v>
      </c>
      <c r="K48" s="5" t="s">
        <v>585</v>
      </c>
      <c r="L48" s="9"/>
      <c r="M48" s="11" t="n">
        <f aca="false">IF(OR(K48="Used",K48="Alternative"),1,0)</f>
        <v>1</v>
      </c>
      <c r="N48" s="11" t="str">
        <f aca="false">IF(K48="Used",A48,"")</f>
        <v>Hydrophis hardwickii</v>
      </c>
    </row>
    <row r="49" customFormat="false" ht="26.25" hidden="false" customHeight="true" outlineLevel="0" collapsed="false">
      <c r="A49" s="4" t="s">
        <v>63</v>
      </c>
      <c r="B49" s="11" t="str">
        <f aca="false">IFERROR(INDEX(Species!$B$2:$B$300,MATCH($A49,Species!$A$2:$A$300,0)),"NOT IN SPECIES")</f>
        <v>Yellow-bellied sea snake</v>
      </c>
      <c r="C49" s="24" t="n">
        <v>1</v>
      </c>
      <c r="D49" s="24" t="n">
        <v>4</v>
      </c>
      <c r="E49" s="9" t="s">
        <v>633</v>
      </c>
      <c r="F49" s="5" t="s">
        <v>634</v>
      </c>
      <c r="G49" s="5" t="s">
        <v>635</v>
      </c>
      <c r="H49" s="5"/>
      <c r="I49" s="9" t="s">
        <v>636</v>
      </c>
      <c r="J49" s="5" t="s">
        <v>592</v>
      </c>
      <c r="K49" s="5" t="s">
        <v>585</v>
      </c>
      <c r="L49" s="9"/>
      <c r="M49" s="11" t="n">
        <f aca="false">IF(OR(K49="Used",K49="Alternative"),1,0)</f>
        <v>1</v>
      </c>
      <c r="N49" s="11" t="str">
        <f aca="false">IF(K49="Used",A49,"")</f>
        <v>Hydrophis platurus</v>
      </c>
    </row>
    <row r="50" customFormat="false" ht="26.25" hidden="false" customHeight="true" outlineLevel="0" collapsed="false">
      <c r="A50" s="4" t="s">
        <v>23</v>
      </c>
      <c r="B50" s="11" t="str">
        <f aca="false">IFERROR(INDEX(Species!$B$2:$B$300,MATCH($A50,Species!$A$2:$A$300,0)),"NOT IN SPECIES")</f>
        <v>Hook-nosed sea snake</v>
      </c>
      <c r="C50" s="24" t="n">
        <v>7</v>
      </c>
      <c r="D50" s="24" t="n">
        <v>79</v>
      </c>
      <c r="E50" s="9" t="s">
        <v>633</v>
      </c>
      <c r="F50" s="5" t="s">
        <v>634</v>
      </c>
      <c r="G50" s="5" t="s">
        <v>635</v>
      </c>
      <c r="H50" s="5"/>
      <c r="I50" s="9" t="s">
        <v>636</v>
      </c>
      <c r="J50" s="5" t="s">
        <v>592</v>
      </c>
      <c r="K50" s="5" t="s">
        <v>585</v>
      </c>
      <c r="L50" s="9"/>
      <c r="M50" s="11" t="n">
        <f aca="false">IF(OR(K50="Used",K50="Alternative"),1,0)</f>
        <v>1</v>
      </c>
      <c r="N50" s="11" t="str">
        <f aca="false">IF(K50="Used",A50,"")</f>
        <v>Hydrophis schistosus</v>
      </c>
    </row>
    <row r="51" customFormat="false" ht="26.25" hidden="false" customHeight="true" outlineLevel="0" collapsed="false">
      <c r="A51" s="4" t="s">
        <v>69</v>
      </c>
      <c r="B51" s="11" t="str">
        <f aca="false">IFERROR(INDEX(Species!$B$2:$B$300,MATCH($A51,Species!$A$2:$A$300,0)),"NOT IN SPECIES")</f>
        <v>Atlantic bushmaster</v>
      </c>
      <c r="C51" s="24" t="n">
        <v>200</v>
      </c>
      <c r="D51" s="24" t="n">
        <v>500</v>
      </c>
      <c r="E51" s="9" t="s">
        <v>633</v>
      </c>
      <c r="F51" s="5" t="s">
        <v>634</v>
      </c>
      <c r="G51" s="5" t="s">
        <v>635</v>
      </c>
      <c r="H51" s="5"/>
      <c r="I51" s="9" t="s">
        <v>636</v>
      </c>
      <c r="J51" s="5" t="s">
        <v>592</v>
      </c>
      <c r="K51" s="5" t="s">
        <v>585</v>
      </c>
      <c r="L51" s="9"/>
      <c r="M51" s="11" t="n">
        <f aca="false">IF(OR(K51="Used",K51="Alternative"),1,0)</f>
        <v>1</v>
      </c>
      <c r="N51" s="11" t="str">
        <f aca="false">IF(K51="Used",A51,"")</f>
        <v>Lachesis muta</v>
      </c>
    </row>
    <row r="52" customFormat="false" ht="26.25" hidden="false" customHeight="true" outlineLevel="0" collapsed="false">
      <c r="A52" s="4" t="s">
        <v>65</v>
      </c>
      <c r="B52" s="11" t="str">
        <f aca="false">IFERROR(INDEX(Species!$B$2:$B$300,MATCH($A52,Species!$A$2:$A$300,0)),"NOT IN SPECIES")</f>
        <v>Black-banded sea krait</v>
      </c>
      <c r="C52" s="24" t="n">
        <v>2</v>
      </c>
      <c r="D52" s="24" t="n">
        <v>14</v>
      </c>
      <c r="E52" s="9" t="s">
        <v>633</v>
      </c>
      <c r="F52" s="5" t="s">
        <v>634</v>
      </c>
      <c r="G52" s="5" t="s">
        <v>635</v>
      </c>
      <c r="H52" s="5"/>
      <c r="I52" s="9" t="s">
        <v>636</v>
      </c>
      <c r="J52" s="5" t="s">
        <v>592</v>
      </c>
      <c r="K52" s="5" t="s">
        <v>585</v>
      </c>
      <c r="L52" s="9"/>
      <c r="M52" s="11" t="n">
        <f aca="false">IF(OR(K52="Used",K52="Alternative"),1,0)</f>
        <v>1</v>
      </c>
      <c r="N52" s="11" t="str">
        <f aca="false">IF(K52="Used",A52,"")</f>
        <v>Laticauda semifasciata</v>
      </c>
    </row>
    <row r="53" customFormat="false" ht="26.25" hidden="false" customHeight="true" outlineLevel="0" collapsed="false">
      <c r="A53" s="4" t="s">
        <v>52</v>
      </c>
      <c r="B53" s="11" t="str">
        <f aca="false">IFERROR(INDEX(Species!$B$2:$B$300,MATCH($A53,Species!$A$2:$A$300,0)),"NOT IN SPECIES")</f>
        <v>Blunt-nosed viper</v>
      </c>
      <c r="C53" s="24" t="n">
        <v>12</v>
      </c>
      <c r="D53" s="24" t="n">
        <v>150</v>
      </c>
      <c r="E53" s="9" t="s">
        <v>633</v>
      </c>
      <c r="F53" s="5" t="s">
        <v>634</v>
      </c>
      <c r="G53" s="5" t="s">
        <v>635</v>
      </c>
      <c r="H53" s="5"/>
      <c r="I53" s="9" t="s">
        <v>636</v>
      </c>
      <c r="J53" s="5" t="s">
        <v>592</v>
      </c>
      <c r="K53" s="5" t="s">
        <v>585</v>
      </c>
      <c r="L53" s="9"/>
      <c r="M53" s="11" t="n">
        <f aca="false">IF(OR(K53="Used",K53="Alternative"),1,0)</f>
        <v>1</v>
      </c>
      <c r="N53" s="11" t="str">
        <f aca="false">IF(K53="Used",A53,"")</f>
        <v>Macrovipera lebetina</v>
      </c>
    </row>
    <row r="54" customFormat="false" ht="26.25" hidden="false" customHeight="true" outlineLevel="0" collapsed="false">
      <c r="A54" s="4" t="s">
        <v>82</v>
      </c>
      <c r="B54" s="11" t="str">
        <f aca="false">IFERROR(INDEX(Species!$B$2:$B$300,MATCH($A54,Species!$A$2:$A$300,0)),"NOT IN SPECIES")</f>
        <v>Jumping pit viper</v>
      </c>
      <c r="C54" s="24" t="n">
        <v>40</v>
      </c>
      <c r="D54" s="24" t="n">
        <v>60</v>
      </c>
      <c r="E54" s="9" t="s">
        <v>633</v>
      </c>
      <c r="F54" s="5" t="s">
        <v>634</v>
      </c>
      <c r="G54" s="5" t="s">
        <v>635</v>
      </c>
      <c r="H54" s="5"/>
      <c r="I54" s="9" t="s">
        <v>636</v>
      </c>
      <c r="J54" s="5" t="s">
        <v>592</v>
      </c>
      <c r="K54" s="5" t="s">
        <v>585</v>
      </c>
      <c r="L54" s="9"/>
      <c r="M54" s="11" t="n">
        <f aca="false">IF(OR(K54="Used",K54="Alternative"),1,0)</f>
        <v>1</v>
      </c>
      <c r="N54" s="11" t="str">
        <f aca="false">IF(K54="Used",A54,"")</f>
        <v>Metlapilcoatlus nummifer</v>
      </c>
    </row>
    <row r="55" customFormat="false" ht="26.25" hidden="false" customHeight="true" outlineLevel="0" collapsed="false">
      <c r="A55" s="4" t="s">
        <v>72</v>
      </c>
      <c r="B55" s="11" t="str">
        <f aca="false">IFERROR(INDEX(Species!$B$2:$B$300,MATCH($A55,Species!$A$2:$A$300,0)),"NOT IN SPECIES")</f>
        <v>Southern coral snake</v>
      </c>
      <c r="C55" s="24" t="n">
        <v>20</v>
      </c>
      <c r="D55" s="24" t="n">
        <v>30</v>
      </c>
      <c r="E55" s="9" t="s">
        <v>633</v>
      </c>
      <c r="F55" s="5" t="s">
        <v>634</v>
      </c>
      <c r="G55" s="5" t="s">
        <v>635</v>
      </c>
      <c r="H55" s="5"/>
      <c r="I55" s="9" t="s">
        <v>636</v>
      </c>
      <c r="J55" s="5" t="s">
        <v>592</v>
      </c>
      <c r="K55" s="5" t="s">
        <v>585</v>
      </c>
      <c r="L55" s="9"/>
      <c r="M55" s="11" t="n">
        <f aca="false">IF(OR(K55="Used",K55="Alternative"),1,0)</f>
        <v>1</v>
      </c>
      <c r="N55" s="11" t="str">
        <f aca="false">IF(K55="Used",A55,"")</f>
        <v>Micrurus frontalis</v>
      </c>
    </row>
    <row r="56" customFormat="false" ht="26.25" hidden="false" customHeight="true" outlineLevel="0" collapsed="false">
      <c r="A56" s="4" t="s">
        <v>78</v>
      </c>
      <c r="B56" s="11" t="str">
        <f aca="false">IFERROR(INDEX(Species!$B$2:$B$300,MATCH($A56,Species!$A$2:$A$300,0)),"NOT IN SPECIES")</f>
        <v>Harlequin coral snake</v>
      </c>
      <c r="C56" s="24" t="n">
        <v>3</v>
      </c>
      <c r="D56" s="24" t="n">
        <v>5</v>
      </c>
      <c r="E56" s="9" t="s">
        <v>633</v>
      </c>
      <c r="F56" s="5" t="s">
        <v>634</v>
      </c>
      <c r="G56" s="5" t="s">
        <v>635</v>
      </c>
      <c r="H56" s="5"/>
      <c r="I56" s="9" t="s">
        <v>636</v>
      </c>
      <c r="J56" s="5" t="s">
        <v>592</v>
      </c>
      <c r="K56" s="5" t="s">
        <v>585</v>
      </c>
      <c r="L56" s="9"/>
      <c r="M56" s="11" t="n">
        <f aca="false">IF(OR(K56="Used",K56="Alternative"),1,0)</f>
        <v>1</v>
      </c>
      <c r="N56" s="11" t="str">
        <f aca="false">IF(K56="Used",A56,"")</f>
        <v>Micrurus fulvius</v>
      </c>
    </row>
    <row r="57" customFormat="false" ht="26.25" hidden="false" customHeight="true" outlineLevel="0" collapsed="false">
      <c r="A57" s="4" t="s">
        <v>81</v>
      </c>
      <c r="B57" s="11" t="str">
        <f aca="false">IFERROR(INDEX(Species!$B$2:$B$300,MATCH($A57,Species!$A$2:$A$300,0)),"NOT IN SPECIES")</f>
        <v>Central American coral snake</v>
      </c>
      <c r="C57" s="24" t="n">
        <v>5</v>
      </c>
      <c r="D57" s="24" t="n">
        <v>8</v>
      </c>
      <c r="E57" s="9" t="s">
        <v>633</v>
      </c>
      <c r="F57" s="5" t="s">
        <v>634</v>
      </c>
      <c r="G57" s="5" t="s">
        <v>635</v>
      </c>
      <c r="H57" s="5"/>
      <c r="I57" s="9" t="s">
        <v>636</v>
      </c>
      <c r="J57" s="5" t="s">
        <v>592</v>
      </c>
      <c r="K57" s="5" t="s">
        <v>585</v>
      </c>
      <c r="L57" s="9"/>
      <c r="M57" s="11" t="n">
        <f aca="false">IF(OR(K57="Used",K57="Alternative"),1,0)</f>
        <v>1</v>
      </c>
      <c r="N57" s="11" t="str">
        <f aca="false">IF(K57="Used",A57,"")</f>
        <v>Micrurus nigrocinctus</v>
      </c>
    </row>
    <row r="58" customFormat="false" ht="26.25" hidden="false" customHeight="true" outlineLevel="0" collapsed="false">
      <c r="A58" s="4" t="s">
        <v>59</v>
      </c>
      <c r="B58" s="11" t="str">
        <f aca="false">IFERROR(INDEX(Species!$B$2:$B$300,MATCH($A58,Species!$A$2:$A$300,0)),"NOT IN SPECIES")</f>
        <v>Ottoman viper</v>
      </c>
      <c r="C58" s="24" t="n">
        <v>8</v>
      </c>
      <c r="D58" s="24" t="n">
        <v>18</v>
      </c>
      <c r="E58" s="9" t="s">
        <v>633</v>
      </c>
      <c r="F58" s="5" t="s">
        <v>634</v>
      </c>
      <c r="G58" s="5" t="s">
        <v>635</v>
      </c>
      <c r="H58" s="5"/>
      <c r="I58" s="9" t="s">
        <v>636</v>
      </c>
      <c r="J58" s="5" t="s">
        <v>592</v>
      </c>
      <c r="K58" s="5" t="s">
        <v>585</v>
      </c>
      <c r="L58" s="9"/>
      <c r="M58" s="11" t="n">
        <f aca="false">IF(OR(K58="Used",K58="Alternative"),1,0)</f>
        <v>1</v>
      </c>
      <c r="N58" s="11" t="str">
        <f aca="false">IF(K58="Used",A58,"")</f>
        <v>Montivipera xanthina</v>
      </c>
    </row>
    <row r="59" customFormat="false" ht="26.25" hidden="false" customHeight="true" outlineLevel="0" collapsed="false">
      <c r="A59" s="4" t="s">
        <v>46</v>
      </c>
      <c r="B59" s="11" t="str">
        <f aca="false">IFERROR(INDEX(Species!$B$2:$B$300,MATCH($A59,Species!$A$2:$A$300,0)),"NOT IN SPECIES")</f>
        <v>Chinese cobra</v>
      </c>
      <c r="C59" s="24" t="n">
        <v>150</v>
      </c>
      <c r="D59" s="24" t="n">
        <v>250</v>
      </c>
      <c r="E59" s="9" t="s">
        <v>633</v>
      </c>
      <c r="F59" s="5" t="s">
        <v>634</v>
      </c>
      <c r="G59" s="5" t="s">
        <v>635</v>
      </c>
      <c r="H59" s="5"/>
      <c r="I59" s="9" t="s">
        <v>636</v>
      </c>
      <c r="J59" s="5" t="s">
        <v>592</v>
      </c>
      <c r="K59" s="5" t="s">
        <v>585</v>
      </c>
      <c r="L59" s="9"/>
      <c r="M59" s="11" t="n">
        <f aca="false">IF(OR(K59="Used",K59="Alternative"),1,0)</f>
        <v>1</v>
      </c>
      <c r="N59" s="11" t="str">
        <f aca="false">IF(K59="Used",A59,"")</f>
        <v>Naja atra</v>
      </c>
    </row>
    <row r="60" customFormat="false" ht="26.25" hidden="false" customHeight="true" outlineLevel="0" collapsed="false">
      <c r="A60" s="4" t="s">
        <v>29</v>
      </c>
      <c r="B60" s="11" t="str">
        <f aca="false">IFERROR(INDEX(Species!$B$2:$B$300,MATCH($A60,Species!$A$2:$A$300,0)),"NOT IN SPECIES")</f>
        <v>Egyptian cobra</v>
      </c>
      <c r="C60" s="24" t="n">
        <v>175</v>
      </c>
      <c r="D60" s="24" t="n">
        <v>300</v>
      </c>
      <c r="E60" s="9" t="s">
        <v>633</v>
      </c>
      <c r="F60" s="5" t="s">
        <v>634</v>
      </c>
      <c r="G60" s="5" t="s">
        <v>635</v>
      </c>
      <c r="H60" s="5"/>
      <c r="I60" s="9" t="s">
        <v>636</v>
      </c>
      <c r="J60" s="5" t="s">
        <v>592</v>
      </c>
      <c r="K60" s="5" t="s">
        <v>585</v>
      </c>
      <c r="L60" s="9"/>
      <c r="M60" s="11" t="n">
        <f aca="false">IF(OR(K60="Used",K60="Alternative"),1,0)</f>
        <v>1</v>
      </c>
      <c r="N60" s="11" t="str">
        <f aca="false">IF(K60="Used",A60,"")</f>
        <v>Naja haje</v>
      </c>
    </row>
    <row r="61" customFormat="false" ht="26.25" hidden="false" customHeight="true" outlineLevel="0" collapsed="false">
      <c r="A61" s="4" t="s">
        <v>26</v>
      </c>
      <c r="B61" s="11" t="str">
        <f aca="false">IFERROR(INDEX(Species!$B$2:$B$300,MATCH($A61,Species!$A$2:$A$300,0)),"NOT IN SPECIES")</f>
        <v>Monocled cobra</v>
      </c>
      <c r="C61" s="24" t="n">
        <v>150</v>
      </c>
      <c r="D61" s="24" t="n">
        <v>600</v>
      </c>
      <c r="E61" s="9" t="s">
        <v>633</v>
      </c>
      <c r="F61" s="5" t="s">
        <v>634</v>
      </c>
      <c r="G61" s="5" t="s">
        <v>635</v>
      </c>
      <c r="H61" s="5"/>
      <c r="I61" s="9" t="s">
        <v>636</v>
      </c>
      <c r="J61" s="5" t="s">
        <v>592</v>
      </c>
      <c r="K61" s="5" t="s">
        <v>585</v>
      </c>
      <c r="L61" s="9"/>
      <c r="M61" s="11" t="n">
        <f aca="false">IF(OR(K61="Used",K61="Alternative"),1,0)</f>
        <v>1</v>
      </c>
      <c r="N61" s="11" t="str">
        <f aca="false">IF(K61="Used",A61,"")</f>
        <v>Naja kaouthia</v>
      </c>
    </row>
    <row r="62" customFormat="false" ht="39" hidden="false" customHeight="true" outlineLevel="0" collapsed="false">
      <c r="A62" s="4" t="s">
        <v>19</v>
      </c>
      <c r="B62" s="11" t="str">
        <f aca="false">IFERROR(INDEX(Species!$B$2:$B$300,MATCH($A62,Species!$A$2:$A$300,0)),"NOT IN SPECIES")</f>
        <v>Forest cobra</v>
      </c>
      <c r="C62" s="24" t="n">
        <v>571</v>
      </c>
      <c r="D62" s="24" t="n">
        <v>1102</v>
      </c>
      <c r="E62" s="9" t="s">
        <v>648</v>
      </c>
      <c r="F62" s="5" t="s">
        <v>634</v>
      </c>
      <c r="G62" s="5" t="s">
        <v>153</v>
      </c>
      <c r="H62" s="5" t="n">
        <v>59</v>
      </c>
      <c r="I62" s="9" t="s">
        <v>649</v>
      </c>
      <c r="J62" s="5" t="s">
        <v>650</v>
      </c>
      <c r="K62" s="5" t="s">
        <v>585</v>
      </c>
      <c r="L62" s="9" t="s">
        <v>651</v>
      </c>
      <c r="M62" s="11" t="n">
        <f aca="false">IF(OR(K62="Used",K62="Alternative"),1,0)</f>
        <v>1</v>
      </c>
      <c r="N62" s="11" t="str">
        <f aca="false">IF(K62="Used",A62,"")</f>
        <v>Naja melanoleuca</v>
      </c>
    </row>
    <row r="63" customFormat="false" ht="26.25" hidden="false" customHeight="true" outlineLevel="0" collapsed="false">
      <c r="A63" s="4" t="s">
        <v>19</v>
      </c>
      <c r="B63" s="11" t="str">
        <f aca="false">IFERROR(INDEX(Species!$B$2:$B$300,MATCH($A63,Species!$A$2:$A$300,0)),"NOT IN SPECIES")</f>
        <v>Forest cobra</v>
      </c>
      <c r="C63" s="24" t="n">
        <v>180</v>
      </c>
      <c r="D63" s="24" t="n">
        <v>500</v>
      </c>
      <c r="E63" s="9" t="s">
        <v>652</v>
      </c>
      <c r="F63" s="5" t="s">
        <v>634</v>
      </c>
      <c r="G63" s="5" t="s">
        <v>635</v>
      </c>
      <c r="H63" s="5"/>
      <c r="I63" s="9" t="s">
        <v>624</v>
      </c>
      <c r="J63" s="5" t="s">
        <v>595</v>
      </c>
      <c r="K63" s="5" t="s">
        <v>597</v>
      </c>
      <c r="L63" s="9" t="s">
        <v>653</v>
      </c>
      <c r="M63" s="11" t="n">
        <f aca="false">IF(OR(K63="Used",K63="Alternative"),1,0)</f>
        <v>1</v>
      </c>
      <c r="N63" s="11" t="str">
        <f aca="false">IF(K63="Used",A63,"")</f>
        <v/>
      </c>
    </row>
    <row r="64" customFormat="false" ht="26.25" hidden="false" customHeight="true" outlineLevel="0" collapsed="false">
      <c r="A64" s="4" t="s">
        <v>42</v>
      </c>
      <c r="B64" s="11" t="str">
        <f aca="false">IFERROR(INDEX(Species!$B$2:$B$300,MATCH($A64,Species!$A$2:$A$300,0)),"NOT IN SPECIES")</f>
        <v>Indian cobra</v>
      </c>
      <c r="C64" s="24" t="n">
        <v>169</v>
      </c>
      <c r="D64" s="24" t="n">
        <v>250</v>
      </c>
      <c r="E64" s="9" t="s">
        <v>633</v>
      </c>
      <c r="F64" s="5" t="s">
        <v>634</v>
      </c>
      <c r="G64" s="5" t="s">
        <v>635</v>
      </c>
      <c r="H64" s="5"/>
      <c r="I64" s="9" t="s">
        <v>636</v>
      </c>
      <c r="J64" s="5" t="s">
        <v>592</v>
      </c>
      <c r="K64" s="5" t="s">
        <v>585</v>
      </c>
      <c r="L64" s="9"/>
      <c r="M64" s="11" t="n">
        <f aca="false">IF(OR(K64="Used",K64="Alternative"),1,0)</f>
        <v>1</v>
      </c>
      <c r="N64" s="11" t="str">
        <f aca="false">IF(K64="Used",A64,"")</f>
        <v>Naja naja</v>
      </c>
    </row>
    <row r="65" customFormat="false" ht="26.25" hidden="false" customHeight="true" outlineLevel="0" collapsed="false">
      <c r="A65" s="4" t="s">
        <v>31</v>
      </c>
      <c r="B65" s="11" t="str">
        <f aca="false">IFERROR(INDEX(Species!$B$2:$B$300,MATCH($A65,Species!$A$2:$A$300,0)),"NOT IN SPECIES")</f>
        <v>Black-necked spitting cobra</v>
      </c>
      <c r="C65" s="24" t="n">
        <v>150</v>
      </c>
      <c r="D65" s="24" t="n">
        <v>350</v>
      </c>
      <c r="E65" s="9" t="s">
        <v>633</v>
      </c>
      <c r="F65" s="5" t="s">
        <v>634</v>
      </c>
      <c r="G65" s="5" t="s">
        <v>635</v>
      </c>
      <c r="H65" s="5"/>
      <c r="I65" s="9" t="s">
        <v>636</v>
      </c>
      <c r="J65" s="5" t="s">
        <v>592</v>
      </c>
      <c r="K65" s="5" t="s">
        <v>585</v>
      </c>
      <c r="L65" s="9"/>
      <c r="M65" s="11" t="n">
        <f aca="false">IF(OR(K65="Used",K65="Alternative"),1,0)</f>
        <v>1</v>
      </c>
      <c r="N65" s="11" t="str">
        <f aca="false">IF(K65="Used",A65,"")</f>
        <v>Naja nigricollis</v>
      </c>
    </row>
    <row r="66" customFormat="false" ht="26.25" hidden="false" customHeight="true" outlineLevel="0" collapsed="false">
      <c r="A66" s="4" t="s">
        <v>38</v>
      </c>
      <c r="B66" s="11" t="str">
        <f aca="false">IFERROR(INDEX(Species!$B$2:$B$300,MATCH($A66,Species!$A$2:$A$300,0)),"NOT IN SPECIES")</f>
        <v>Cape cobra</v>
      </c>
      <c r="C66" s="24" t="n">
        <v>120</v>
      </c>
      <c r="D66" s="24" t="n">
        <v>250</v>
      </c>
      <c r="E66" s="9" t="s">
        <v>633</v>
      </c>
      <c r="F66" s="5" t="s">
        <v>634</v>
      </c>
      <c r="G66" s="5" t="s">
        <v>635</v>
      </c>
      <c r="H66" s="5"/>
      <c r="I66" s="9" t="s">
        <v>636</v>
      </c>
      <c r="J66" s="5" t="s">
        <v>592</v>
      </c>
      <c r="K66" s="5" t="s">
        <v>585</v>
      </c>
      <c r="L66" s="9" t="s">
        <v>654</v>
      </c>
      <c r="M66" s="11" t="n">
        <f aca="false">IF(OR(K66="Used",K66="Alternative"),1,0)</f>
        <v>1</v>
      </c>
      <c r="N66" s="11" t="str">
        <f aca="false">IF(K66="Used",A66,"")</f>
        <v>Naja nivea</v>
      </c>
    </row>
    <row r="67" customFormat="false" ht="26.25" hidden="false" customHeight="true" outlineLevel="0" collapsed="false">
      <c r="A67" s="4" t="s">
        <v>30</v>
      </c>
      <c r="B67" s="11" t="str">
        <f aca="false">IFERROR(INDEX(Species!$B$2:$B$300,MATCH($A67,Species!$A$2:$A$300,0)),"NOT IN SPECIES")</f>
        <v>Caspian cobra</v>
      </c>
      <c r="C67" s="24" t="n">
        <v>66</v>
      </c>
      <c r="D67" s="24" t="n">
        <v>124</v>
      </c>
      <c r="E67" s="9" t="s">
        <v>633</v>
      </c>
      <c r="F67" s="5" t="s">
        <v>634</v>
      </c>
      <c r="G67" s="5" t="s">
        <v>635</v>
      </c>
      <c r="H67" s="5"/>
      <c r="I67" s="9" t="s">
        <v>636</v>
      </c>
      <c r="J67" s="5" t="s">
        <v>592</v>
      </c>
      <c r="K67" s="5" t="s">
        <v>585</v>
      </c>
      <c r="L67" s="9"/>
      <c r="M67" s="11" t="n">
        <f aca="false">IF(OR(K67="Used",K67="Alternative"),1,0)</f>
        <v>1</v>
      </c>
      <c r="N67" s="11" t="str">
        <f aca="false">IF(K67="Used",A67,"")</f>
        <v>Naja oxiana</v>
      </c>
    </row>
    <row r="68" customFormat="false" ht="26.25" hidden="false" customHeight="true" outlineLevel="0" collapsed="false">
      <c r="A68" s="4" t="s">
        <v>33</v>
      </c>
      <c r="B68" s="11" t="str">
        <f aca="false">IFERROR(INDEX(Species!$B$2:$B$300,MATCH($A68,Species!$A$2:$A$300,0)),"NOT IN SPECIES")</f>
        <v>Philippine cobra</v>
      </c>
      <c r="C68" s="24" t="n">
        <v>90</v>
      </c>
      <c r="D68" s="24" t="n">
        <v>100</v>
      </c>
      <c r="E68" s="9" t="s">
        <v>633</v>
      </c>
      <c r="F68" s="5" t="s">
        <v>634</v>
      </c>
      <c r="G68" s="5" t="s">
        <v>635</v>
      </c>
      <c r="H68" s="5"/>
      <c r="I68" s="9" t="s">
        <v>636</v>
      </c>
      <c r="J68" s="5" t="s">
        <v>592</v>
      </c>
      <c r="K68" s="5" t="s">
        <v>585</v>
      </c>
      <c r="L68" s="9"/>
      <c r="M68" s="11" t="n">
        <f aca="false">IF(OR(K68="Used",K68="Alternative"),1,0)</f>
        <v>1</v>
      </c>
      <c r="N68" s="11" t="str">
        <f aca="false">IF(K68="Used",A68,"")</f>
        <v>Naja philippinensis</v>
      </c>
    </row>
    <row r="69" customFormat="false" ht="26.25" hidden="false" customHeight="true" outlineLevel="0" collapsed="false">
      <c r="A69" s="4" t="s">
        <v>27</v>
      </c>
      <c r="B69" s="11" t="str">
        <f aca="false">IFERROR(INDEX(Species!$B$2:$B$300,MATCH($A69,Species!$A$2:$A$300,0)),"NOT IN SPECIES")</f>
        <v>Tiger snake</v>
      </c>
      <c r="C69" s="24" t="n">
        <v>35</v>
      </c>
      <c r="D69" s="24" t="n">
        <v>189</v>
      </c>
      <c r="E69" s="9" t="s">
        <v>633</v>
      </c>
      <c r="F69" s="5" t="s">
        <v>634</v>
      </c>
      <c r="G69" s="5" t="s">
        <v>635</v>
      </c>
      <c r="H69" s="5"/>
      <c r="I69" s="9" t="s">
        <v>636</v>
      </c>
      <c r="J69" s="5" t="s">
        <v>592</v>
      </c>
      <c r="K69" s="5" t="s">
        <v>585</v>
      </c>
      <c r="L69" s="9"/>
      <c r="M69" s="11" t="n">
        <f aca="false">IF(OR(K69="Used",K69="Alternative"),1,0)</f>
        <v>1</v>
      </c>
      <c r="N69" s="11" t="str">
        <f aca="false">IF(K69="Used",A69,"")</f>
        <v>Notechis scutatus</v>
      </c>
    </row>
    <row r="70" customFormat="false" ht="26.25" hidden="false" customHeight="true" outlineLevel="0" collapsed="false">
      <c r="A70" s="4" t="s">
        <v>44</v>
      </c>
      <c r="B70" s="11" t="str">
        <f aca="false">IFERROR(INDEX(Species!$B$2:$B$300,MATCH($A70,Species!$A$2:$A$300,0)),"NOT IN SPECIES")</f>
        <v>King cobra</v>
      </c>
      <c r="C70" s="24" t="n">
        <v>350</v>
      </c>
      <c r="D70" s="24" t="n">
        <v>500</v>
      </c>
      <c r="E70" s="9" t="s">
        <v>633</v>
      </c>
      <c r="F70" s="5" t="s">
        <v>634</v>
      </c>
      <c r="G70" s="5" t="s">
        <v>635</v>
      </c>
      <c r="H70" s="5"/>
      <c r="I70" s="9" t="s">
        <v>636</v>
      </c>
      <c r="J70" s="5" t="s">
        <v>592</v>
      </c>
      <c r="K70" s="5" t="s">
        <v>585</v>
      </c>
      <c r="L70" s="9"/>
      <c r="M70" s="11" t="n">
        <f aca="false">IF(OR(K70="Used",K70="Alternative"),1,0)</f>
        <v>1</v>
      </c>
      <c r="N70" s="11" t="str">
        <f aca="false">IF(K70="Used",A70,"")</f>
        <v>Ophiophagus hannah</v>
      </c>
    </row>
    <row r="71" customFormat="false" ht="14.25" hidden="false" customHeight="true" outlineLevel="0" collapsed="false">
      <c r="A71" s="4" t="s">
        <v>20</v>
      </c>
      <c r="B71" s="11" t="str">
        <f aca="false">IFERROR(INDEX(Species!$B$2:$B$300,MATCH($A71,Species!$A$2:$A$300,0)),"NOT IN SPECIES")</f>
        <v>Inland taipan</v>
      </c>
      <c r="C71" s="24" t="n">
        <v>44</v>
      </c>
      <c r="D71" s="24" t="n">
        <v>110</v>
      </c>
      <c r="E71" s="9" t="s">
        <v>637</v>
      </c>
      <c r="F71" s="5" t="s">
        <v>634</v>
      </c>
      <c r="G71" s="5" t="s">
        <v>153</v>
      </c>
      <c r="H71" s="5"/>
      <c r="I71" s="9" t="s">
        <v>655</v>
      </c>
      <c r="J71" s="5" t="s">
        <v>650</v>
      </c>
      <c r="K71" s="5" t="s">
        <v>585</v>
      </c>
      <c r="L71" s="9" t="s">
        <v>656</v>
      </c>
      <c r="M71" s="11" t="n">
        <f aca="false">IF(OR(K71="Used",K71="Alternative"),1,0)</f>
        <v>1</v>
      </c>
      <c r="N71" s="11" t="str">
        <f aca="false">IF(K71="Used",A71,"")</f>
        <v>Oxyuranus microlepidotus</v>
      </c>
    </row>
    <row r="72" customFormat="false" ht="26.25" hidden="false" customHeight="true" outlineLevel="0" collapsed="false">
      <c r="A72" s="4" t="s">
        <v>21</v>
      </c>
      <c r="B72" s="11" t="str">
        <f aca="false">IFERROR(INDEX(Species!$B$2:$B$300,MATCH($A72,Species!$A$2:$A$300,0)),"NOT IN SPECIES")</f>
        <v>Coastal taipan</v>
      </c>
      <c r="C72" s="24" t="n">
        <v>120</v>
      </c>
      <c r="D72" s="24" t="n">
        <v>400</v>
      </c>
      <c r="E72" s="9" t="s">
        <v>633</v>
      </c>
      <c r="F72" s="5" t="s">
        <v>634</v>
      </c>
      <c r="G72" s="5" t="s">
        <v>635</v>
      </c>
      <c r="H72" s="5"/>
      <c r="I72" s="9" t="s">
        <v>636</v>
      </c>
      <c r="J72" s="5" t="s">
        <v>592</v>
      </c>
      <c r="K72" s="5" t="s">
        <v>585</v>
      </c>
      <c r="L72" s="9"/>
      <c r="M72" s="11" t="n">
        <f aca="false">IF(OR(K72="Used",K72="Alternative"),1,0)</f>
        <v>1</v>
      </c>
      <c r="N72" s="11" t="str">
        <f aca="false">IF(K72="Used",A72,"")</f>
        <v>Oxyuranus scutellatus</v>
      </c>
    </row>
    <row r="73" customFormat="false" ht="14.25" hidden="false" customHeight="true" outlineLevel="0" collapsed="false">
      <c r="A73" s="4" t="s">
        <v>57</v>
      </c>
      <c r="B73" s="11" t="str">
        <f aca="false">IFERROR(INDEX(Species!$B$2:$B$300,MATCH($A73,Species!$A$2:$A$300,0)),"NOT IN SPECIES")</f>
        <v>Mulga snake</v>
      </c>
      <c r="C73" s="24" t="n">
        <v>180</v>
      </c>
      <c r="D73" s="24" t="n">
        <v>600</v>
      </c>
      <c r="E73" s="9" t="s">
        <v>657</v>
      </c>
      <c r="F73" s="5" t="s">
        <v>634</v>
      </c>
      <c r="G73" s="5" t="s">
        <v>153</v>
      </c>
      <c r="H73" s="5"/>
      <c r="I73" s="9" t="s">
        <v>658</v>
      </c>
      <c r="J73" s="5" t="s">
        <v>650</v>
      </c>
      <c r="K73" s="5" t="s">
        <v>585</v>
      </c>
      <c r="L73" s="9" t="s">
        <v>659</v>
      </c>
      <c r="M73" s="11" t="n">
        <f aca="false">IF(OR(K73="Used",K73="Alternative"),1,0)</f>
        <v>1</v>
      </c>
      <c r="N73" s="11" t="str">
        <f aca="false">IF(K73="Used",A73,"")</f>
        <v>Pseudechis australis</v>
      </c>
    </row>
    <row r="74" customFormat="false" ht="26.25" hidden="false" customHeight="true" outlineLevel="0" collapsed="false">
      <c r="A74" s="4" t="s">
        <v>57</v>
      </c>
      <c r="B74" s="11" t="str">
        <f aca="false">IFERROR(INDEX(Species!$B$2:$B$300,MATCH($A74,Species!$A$2:$A$300,0)),"NOT IN SPECIES")</f>
        <v>Mulga snake</v>
      </c>
      <c r="C74" s="24" t="n">
        <v>180</v>
      </c>
      <c r="D74" s="24" t="n">
        <v>1350</v>
      </c>
      <c r="E74" s="9" t="s">
        <v>660</v>
      </c>
      <c r="F74" s="5" t="s">
        <v>634</v>
      </c>
      <c r="G74" s="5" t="s">
        <v>635</v>
      </c>
      <c r="H74" s="5"/>
      <c r="I74" s="9" t="s">
        <v>624</v>
      </c>
      <c r="J74" s="5" t="s">
        <v>595</v>
      </c>
      <c r="K74" s="5" t="s">
        <v>625</v>
      </c>
      <c r="L74" s="9" t="s">
        <v>661</v>
      </c>
      <c r="M74" s="11" t="n">
        <f aca="false">IF(OR(K74="Used",K74="Alternative"),1,0)</f>
        <v>0</v>
      </c>
      <c r="N74" s="11" t="str">
        <f aca="false">IF(K74="Used",A74,"")</f>
        <v/>
      </c>
    </row>
    <row r="75" customFormat="false" ht="26.25" hidden="false" customHeight="true" outlineLevel="0" collapsed="false">
      <c r="A75" s="4" t="s">
        <v>83</v>
      </c>
      <c r="B75" s="11" t="str">
        <f aca="false">IFERROR(INDEX(Species!$B$2:$B$300,MATCH($A75,Species!$A$2:$A$300,0)),"NOT IN SPECIES")</f>
        <v>Common blacksnake</v>
      </c>
      <c r="C75" s="24" t="n">
        <v>30</v>
      </c>
      <c r="D75" s="24" t="n">
        <v>50</v>
      </c>
      <c r="E75" s="9" t="s">
        <v>633</v>
      </c>
      <c r="F75" s="5" t="s">
        <v>634</v>
      </c>
      <c r="G75" s="5" t="s">
        <v>635</v>
      </c>
      <c r="H75" s="5"/>
      <c r="I75" s="9" t="s">
        <v>636</v>
      </c>
      <c r="J75" s="5" t="s">
        <v>592</v>
      </c>
      <c r="K75" s="5" t="s">
        <v>585</v>
      </c>
      <c r="L75" s="9"/>
      <c r="M75" s="11" t="n">
        <f aca="false">IF(OR(K75="Used",K75="Alternative"),1,0)</f>
        <v>1</v>
      </c>
      <c r="N75" s="11" t="str">
        <f aca="false">IF(K75="Used",A75,"")</f>
        <v>Pseudechis porphyriacus</v>
      </c>
    </row>
    <row r="76" customFormat="false" ht="26.25" hidden="false" customHeight="true" outlineLevel="0" collapsed="false">
      <c r="A76" s="4" t="s">
        <v>28</v>
      </c>
      <c r="B76" s="11" t="str">
        <f aca="false">IFERROR(INDEX(Species!$B$2:$B$300,MATCH($A76,Species!$A$2:$A$300,0)),"NOT IN SPECIES")</f>
        <v>Eastern brown snake</v>
      </c>
      <c r="C76" s="24" t="n">
        <v>2</v>
      </c>
      <c r="D76" s="24" t="n">
        <v>67</v>
      </c>
      <c r="E76" s="9" t="s">
        <v>633</v>
      </c>
      <c r="F76" s="5" t="s">
        <v>634</v>
      </c>
      <c r="G76" s="5" t="s">
        <v>635</v>
      </c>
      <c r="H76" s="5"/>
      <c r="I76" s="9" t="s">
        <v>636</v>
      </c>
      <c r="J76" s="5" t="s">
        <v>592</v>
      </c>
      <c r="K76" s="5" t="s">
        <v>585</v>
      </c>
      <c r="L76" s="9"/>
      <c r="M76" s="11" t="n">
        <f aca="false">IF(OR(K76="Used",K76="Alternative"),1,0)</f>
        <v>1</v>
      </c>
      <c r="N76" s="11" t="str">
        <f aca="false">IF(K76="Used",A76,"")</f>
        <v>Pseudonaja textilis</v>
      </c>
    </row>
    <row r="77" customFormat="false" ht="26.25" hidden="false" customHeight="true" outlineLevel="0" collapsed="false">
      <c r="A77" s="4" t="s">
        <v>87</v>
      </c>
      <c r="B77" s="11" t="str">
        <f aca="false">IFERROR(INDEX(Species!$B$2:$B$300,MATCH($A77,Species!$A$2:$A$300,0)),"NOT IN SPECIES")</f>
        <v>Pygmy rattlesnake</v>
      </c>
      <c r="C77" s="24" t="n">
        <v>12</v>
      </c>
      <c r="D77" s="24" t="n">
        <v>35</v>
      </c>
      <c r="E77" s="9" t="s">
        <v>633</v>
      </c>
      <c r="F77" s="5" t="s">
        <v>634</v>
      </c>
      <c r="G77" s="5" t="s">
        <v>635</v>
      </c>
      <c r="H77" s="5"/>
      <c r="I77" s="9" t="s">
        <v>636</v>
      </c>
      <c r="J77" s="5" t="s">
        <v>592</v>
      </c>
      <c r="K77" s="5" t="s">
        <v>585</v>
      </c>
      <c r="L77" s="9"/>
      <c r="M77" s="11" t="n">
        <f aca="false">IF(OR(K77="Used",K77="Alternative"),1,0)</f>
        <v>1</v>
      </c>
      <c r="N77" s="11" t="str">
        <f aca="false">IF(K77="Used",A77,"")</f>
        <v>Sistrurus miliarius</v>
      </c>
    </row>
    <row r="78" customFormat="false" ht="26.25" hidden="false" customHeight="true" outlineLevel="0" collapsed="false">
      <c r="A78" s="4" t="s">
        <v>73</v>
      </c>
      <c r="B78" s="11" t="str">
        <f aca="false">IFERROR(INDEX(Species!$B$2:$B$300,MATCH($A78,Species!$A$2:$A$300,0)),"NOT IN SPECIES")</f>
        <v>White-lipped pit viper</v>
      </c>
      <c r="C78" s="24" t="n">
        <v>8</v>
      </c>
      <c r="D78" s="24" t="n">
        <v>15</v>
      </c>
      <c r="E78" s="9" t="s">
        <v>633</v>
      </c>
      <c r="F78" s="5" t="s">
        <v>634</v>
      </c>
      <c r="G78" s="5" t="s">
        <v>635</v>
      </c>
      <c r="H78" s="5"/>
      <c r="I78" s="9" t="s">
        <v>636</v>
      </c>
      <c r="J78" s="5" t="s">
        <v>592</v>
      </c>
      <c r="K78" s="5" t="s">
        <v>585</v>
      </c>
      <c r="L78" s="9"/>
      <c r="M78" s="11" t="n">
        <f aca="false">IF(OR(K78="Used",K78="Alternative"),1,0)</f>
        <v>1</v>
      </c>
      <c r="N78" s="11" t="str">
        <f aca="false">IF(K78="Used",A78,"")</f>
        <v>Trimeresurus albolabris</v>
      </c>
    </row>
    <row r="79" customFormat="false" ht="26.25" hidden="false" customHeight="true" outlineLevel="0" collapsed="false">
      <c r="A79" s="4" t="s">
        <v>60</v>
      </c>
      <c r="B79" s="11" t="str">
        <f aca="false">IFERROR(INDEX(Species!$B$2:$B$300,MATCH($A79,Species!$A$2:$A$300,0)),"NOT IN SPECIES")</f>
        <v>Wagler's pit viper</v>
      </c>
      <c r="C79" s="24" t="n">
        <v>65</v>
      </c>
      <c r="D79" s="24" t="n">
        <v>90</v>
      </c>
      <c r="E79" s="9" t="s">
        <v>633</v>
      </c>
      <c r="F79" s="5" t="s">
        <v>634</v>
      </c>
      <c r="G79" s="5" t="s">
        <v>635</v>
      </c>
      <c r="H79" s="5"/>
      <c r="I79" s="9" t="s">
        <v>636</v>
      </c>
      <c r="J79" s="5" t="s">
        <v>592</v>
      </c>
      <c r="K79" s="5" t="s">
        <v>585</v>
      </c>
      <c r="L79" s="9"/>
      <c r="M79" s="11" t="n">
        <f aca="false">IF(OR(K79="Used",K79="Alternative"),1,0)</f>
        <v>1</v>
      </c>
      <c r="N79" s="11" t="str">
        <f aca="false">IF(K79="Used",A79,"")</f>
        <v>Tropidolaemus wagleri</v>
      </c>
    </row>
    <row r="80" customFormat="false" ht="26.25" hidden="false" customHeight="true" outlineLevel="0" collapsed="false">
      <c r="A80" s="4" t="s">
        <v>50</v>
      </c>
      <c r="B80" s="11" t="str">
        <f aca="false">IFERROR(INDEX(Species!$B$2:$B$300,MATCH($A80,Species!$A$2:$A$300,0)),"NOT IN SPECIES")</f>
        <v>Common European viper</v>
      </c>
      <c r="C80" s="24" t="n">
        <v>10</v>
      </c>
      <c r="D80" s="24" t="n">
        <v>18</v>
      </c>
      <c r="E80" s="9" t="s">
        <v>633</v>
      </c>
      <c r="F80" s="5" t="s">
        <v>634</v>
      </c>
      <c r="G80" s="5" t="s">
        <v>635</v>
      </c>
      <c r="H80" s="5"/>
      <c r="I80" s="9" t="s">
        <v>636</v>
      </c>
      <c r="J80" s="5" t="s">
        <v>592</v>
      </c>
      <c r="K80" s="5" t="s">
        <v>585</v>
      </c>
      <c r="L80" s="9"/>
      <c r="M80" s="11" t="n">
        <f aca="false">IF(OR(K80="Used",K80="Alternative"),1,0)</f>
        <v>1</v>
      </c>
      <c r="N80" s="11" t="str">
        <f aca="false">IF(K80="Used",A80,"")</f>
        <v>Vipera berus</v>
      </c>
    </row>
    <row r="81" customFormat="false" ht="34.5" hidden="false" customHeight="true" outlineLevel="0" collapsed="false">
      <c r="A81" s="4" t="s">
        <v>106</v>
      </c>
      <c r="B81" s="11" t="str">
        <f aca="false">IFERROR(INDEX(Species!$B$2:$B$300,MATCH($A81,Species!$A$2:$A$300,0)),"NOT IN SPECIES")</f>
        <v>Dugite</v>
      </c>
      <c r="C81" s="24" t="n">
        <v>18.12</v>
      </c>
      <c r="D81" s="24" t="n">
        <v>52.58</v>
      </c>
      <c r="E81" s="9" t="s">
        <v>662</v>
      </c>
      <c r="F81" s="5" t="s">
        <v>634</v>
      </c>
      <c r="G81" s="5" t="s">
        <v>153</v>
      </c>
      <c r="H81" s="5" t="n">
        <v>4</v>
      </c>
      <c r="I81" s="9" t="s">
        <v>663</v>
      </c>
      <c r="J81" s="5" t="s">
        <v>584</v>
      </c>
      <c r="K81" s="5" t="s">
        <v>585</v>
      </c>
      <c r="L81" s="9" t="s">
        <v>664</v>
      </c>
      <c r="M81" s="11" t="n">
        <f aca="false">IF(OR(K81="Used",K81="Alternative"),1,0)</f>
        <v>1</v>
      </c>
      <c r="N81" s="11" t="str">
        <f aca="false">IF(K81="Used",A81,"")</f>
        <v>Pseudonaja affinis</v>
      </c>
    </row>
    <row r="82" customFormat="false" ht="34.5" hidden="false" customHeight="true" outlineLevel="0" collapsed="false">
      <c r="A82" s="4" t="s">
        <v>106</v>
      </c>
      <c r="B82" s="11" t="str">
        <f aca="false">IFERROR(INDEX(Species!$B$2:$B$300,MATCH($A82,Species!$A$2:$A$300,0)),"NOT IN SPECIES")</f>
        <v>Dugite</v>
      </c>
      <c r="C82" s="24" t="n">
        <v>6</v>
      </c>
      <c r="D82" s="24" t="n">
        <v>17</v>
      </c>
      <c r="E82" s="9" t="s">
        <v>665</v>
      </c>
      <c r="F82" s="5" t="s">
        <v>666</v>
      </c>
      <c r="G82" s="5" t="s">
        <v>635</v>
      </c>
      <c r="H82" s="5"/>
      <c r="I82" s="9" t="s">
        <v>667</v>
      </c>
      <c r="J82" s="5" t="s">
        <v>592</v>
      </c>
      <c r="K82" s="5" t="s">
        <v>597</v>
      </c>
      <c r="L82" s="9" t="s">
        <v>668</v>
      </c>
      <c r="M82" s="11" t="n">
        <f aca="false">IF(OR(K82="Used",K82="Alternative"),1,0)</f>
        <v>1</v>
      </c>
      <c r="N82" s="11" t="str">
        <f aca="false">IF(K82="Used",A82,"")</f>
        <v/>
      </c>
    </row>
    <row r="83" customFormat="false" ht="34.5" hidden="false" customHeight="true" outlineLevel="0" collapsed="false">
      <c r="A83" s="4" t="s">
        <v>108</v>
      </c>
      <c r="B83" s="11" t="str">
        <f aca="false">IFERROR(INDEX(Species!$B$2:$B$300,MATCH($A83,Species!$A$2:$A$300,0)),"NOT IN SPECIES")</f>
        <v>Western brown snake</v>
      </c>
      <c r="C83" s="24" t="n">
        <v>15.01</v>
      </c>
      <c r="D83" s="24" t="n">
        <v>32.92</v>
      </c>
      <c r="E83" s="9" t="s">
        <v>669</v>
      </c>
      <c r="F83" s="5" t="s">
        <v>634</v>
      </c>
      <c r="G83" s="5" t="s">
        <v>153</v>
      </c>
      <c r="H83" s="5" t="n">
        <v>4</v>
      </c>
      <c r="I83" s="9" t="s">
        <v>663</v>
      </c>
      <c r="J83" s="5" t="s">
        <v>592</v>
      </c>
      <c r="K83" s="5" t="s">
        <v>585</v>
      </c>
      <c r="L83" s="9" t="s">
        <v>670</v>
      </c>
      <c r="M83" s="11" t="n">
        <f aca="false">IF(OR(K83="Used",K83="Alternative"),1,0)</f>
        <v>1</v>
      </c>
      <c r="N83" s="11" t="str">
        <f aca="false">IF(K83="Used",A83,"")</f>
        <v>Pseudonaja mengdeni</v>
      </c>
    </row>
    <row r="84" customFormat="false" ht="34.5" hidden="false" customHeight="true" outlineLevel="0" collapsed="false">
      <c r="A84" s="4" t="s">
        <v>91</v>
      </c>
      <c r="B84" s="11" t="str">
        <f aca="false">IFERROR(INDEX(Species!$B$2:$B$300,MATCH($A84,Species!$A$2:$A$300,0)),"NOT IN SPECIES")</f>
        <v>Lowlands copperhead</v>
      </c>
      <c r="C84" s="24" t="n">
        <v>26</v>
      </c>
      <c r="D84" s="24" t="n">
        <v>85</v>
      </c>
      <c r="E84" s="9" t="s">
        <v>671</v>
      </c>
      <c r="F84" s="5" t="s">
        <v>666</v>
      </c>
      <c r="G84" s="5" t="s">
        <v>635</v>
      </c>
      <c r="H84" s="5"/>
      <c r="I84" s="9" t="s">
        <v>667</v>
      </c>
      <c r="J84" s="5" t="s">
        <v>592</v>
      </c>
      <c r="K84" s="5" t="s">
        <v>585</v>
      </c>
      <c r="L84" s="9"/>
      <c r="M84" s="11" t="n">
        <f aca="false">IF(OR(K84="Used",K84="Alternative"),1,0)</f>
        <v>1</v>
      </c>
      <c r="N84" s="11" t="str">
        <f aca="false">IF(K84="Used",A84,"")</f>
        <v>Austrelaps superbus</v>
      </c>
    </row>
    <row r="85" customFormat="false" ht="34.5" hidden="false" customHeight="true" outlineLevel="0" collapsed="false">
      <c r="A85" s="4" t="s">
        <v>105</v>
      </c>
      <c r="B85" s="11" t="str">
        <f aca="false">IFERROR(INDEX(Species!$B$2:$B$300,MATCH($A85,Species!$A$2:$A$300,0)),"NOT IN SPECIES")</f>
        <v>Papuan black snake</v>
      </c>
      <c r="C85" s="24" t="n">
        <v>200</v>
      </c>
      <c r="D85" s="24" t="n">
        <v>494</v>
      </c>
      <c r="E85" s="9" t="s">
        <v>672</v>
      </c>
      <c r="F85" s="5" t="s">
        <v>666</v>
      </c>
      <c r="G85" s="5" t="s">
        <v>635</v>
      </c>
      <c r="H85" s="5"/>
      <c r="I85" s="9" t="s">
        <v>667</v>
      </c>
      <c r="J85" s="5" t="s">
        <v>592</v>
      </c>
      <c r="K85" s="5" t="s">
        <v>585</v>
      </c>
      <c r="L85" s="9"/>
      <c r="M85" s="11" t="n">
        <f aca="false">IF(OR(K85="Used",K85="Alternative"),1,0)</f>
        <v>1</v>
      </c>
      <c r="N85" s="11" t="str">
        <f aca="false">IF(K85="Used",A85,"")</f>
        <v>Pseudechis papuanus</v>
      </c>
    </row>
    <row r="86" customFormat="false" ht="34.5" hidden="false" customHeight="true" outlineLevel="0" collapsed="false">
      <c r="A86" s="4" t="s">
        <v>111</v>
      </c>
      <c r="B86" s="11" t="str">
        <f aca="false">IFERROR(INDEX(Species!$B$2:$B$300,MATCH($A86,Species!$A$2:$A$300,0)),"NOT IN SPECIES")</f>
        <v>Nose-horned viper</v>
      </c>
      <c r="C86" s="24" t="n">
        <v>10</v>
      </c>
      <c r="D86" s="24" t="n">
        <v>45</v>
      </c>
      <c r="E86" s="9" t="s">
        <v>673</v>
      </c>
      <c r="F86" s="5" t="s">
        <v>666</v>
      </c>
      <c r="G86" s="5" t="s">
        <v>635</v>
      </c>
      <c r="H86" s="5"/>
      <c r="I86" s="9" t="s">
        <v>674</v>
      </c>
      <c r="J86" s="5" t="s">
        <v>592</v>
      </c>
      <c r="K86" s="5" t="s">
        <v>585</v>
      </c>
      <c r="L86" s="9"/>
      <c r="M86" s="11" t="n">
        <f aca="false">IF(OR(K86="Used",K86="Alternative"),1,0)</f>
        <v>1</v>
      </c>
      <c r="N86" s="11" t="str">
        <f aca="false">IF(K86="Used",A86,"")</f>
        <v>Vipera ammodytes</v>
      </c>
    </row>
    <row r="87" customFormat="false" ht="34.5" hidden="false" customHeight="true" outlineLevel="0" collapsed="false">
      <c r="A87" s="4" t="s">
        <v>110</v>
      </c>
      <c r="B87" s="11" t="str">
        <f aca="false">IFERROR(INDEX(Species!$B$2:$B$300,MATCH($A87,Species!$A$2:$A$300,0)),"NOT IN SPECIES")</f>
        <v>Rough-scaled snake</v>
      </c>
      <c r="C87" s="24" t="n">
        <v>5.5</v>
      </c>
      <c r="D87" s="24"/>
      <c r="E87" s="9" t="s">
        <v>675</v>
      </c>
      <c r="F87" s="5" t="s">
        <v>666</v>
      </c>
      <c r="G87" s="5" t="s">
        <v>635</v>
      </c>
      <c r="H87" s="5"/>
      <c r="I87" s="9" t="s">
        <v>667</v>
      </c>
      <c r="J87" s="5" t="s">
        <v>592</v>
      </c>
      <c r="K87" s="5" t="s">
        <v>641</v>
      </c>
      <c r="L87" s="9" t="s">
        <v>676</v>
      </c>
      <c r="M87" s="11" t="n">
        <f aca="false">IF(OR(K87="Used",K87="Alternative"),1,0)</f>
        <v>0</v>
      </c>
      <c r="N87" s="11" t="str">
        <f aca="false">IF(K87="Used",A87,"")</f>
        <v/>
      </c>
    </row>
  </sheetData>
  <autoFilter ref="A1:N87"/>
  <dataValidations count="2">
    <dataValidation allowBlank="false" errorStyle="stop" operator="between" showDropDown="false" showErrorMessage="false" showInputMessage="false" sqref="K2:K1000" type="list">
      <formula1>"Used,Alternative,Other basis,Rejected"</formula1>
      <formula2>0</formula2>
    </dataValidation>
    <dataValidation allowBlank="false" errorStyle="stop" operator="between" showDropDown="false" showErrorMessage="false" showInputMessage="false" sqref="J2:J1000" type="list">
      <formula1>"A,B,C,D"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17"/>
    <col collapsed="false" customWidth="true" hidden="false" outlineLevel="0" max="6" min="4" style="0" width="9"/>
    <col collapsed="false" customWidth="true" hidden="false" outlineLevel="0" max="7" min="7" style="0" width="20"/>
    <col collapsed="false" customWidth="true" hidden="false" outlineLevel="0" max="8" min="8" style="0" width="16"/>
    <col collapsed="false" customWidth="true" hidden="false" outlineLevel="0" max="9" min="9" style="0" width="36"/>
    <col collapsed="false" customWidth="true" hidden="false" outlineLevel="0" max="10" min="10" style="0" width="6"/>
    <col collapsed="false" customWidth="true" hidden="false" outlineLevel="0" max="11" min="11" style="0" width="9"/>
    <col collapsed="false" customWidth="true" hidden="false" outlineLevel="0" max="12" min="12" style="0" width="44"/>
    <col collapsed="false" customWidth="true" hidden="false" outlineLevel="0" max="13" min="13" style="0" width="30"/>
    <col collapsed="false" customWidth="true" hidden="false" outlineLevel="0" max="14" min="14" style="0" width="34"/>
  </cols>
  <sheetData>
    <row r="1" customFormat="false" ht="42" hidden="false" customHeight="true" outlineLevel="0" collapsed="false">
      <c r="A1" s="1" t="s">
        <v>0</v>
      </c>
      <c r="B1" s="2" t="s">
        <v>1</v>
      </c>
      <c r="C1" s="1" t="s">
        <v>677</v>
      </c>
      <c r="D1" s="1" t="s">
        <v>678</v>
      </c>
      <c r="E1" s="1" t="s">
        <v>679</v>
      </c>
      <c r="F1" s="1" t="s">
        <v>680</v>
      </c>
      <c r="G1" s="1" t="s">
        <v>681</v>
      </c>
      <c r="H1" s="1" t="s">
        <v>682</v>
      </c>
      <c r="I1" s="1" t="s">
        <v>574</v>
      </c>
      <c r="J1" s="1" t="s">
        <v>575</v>
      </c>
      <c r="K1" s="1" t="s">
        <v>576</v>
      </c>
      <c r="L1" s="1" t="s">
        <v>577</v>
      </c>
      <c r="M1" s="2" t="s">
        <v>683</v>
      </c>
      <c r="N1" s="2" t="s">
        <v>579</v>
      </c>
    </row>
    <row r="2" customFormat="false" ht="14.25" hidden="false" customHeight="true" outlineLevel="0" collapsed="false">
      <c r="A2" s="4" t="s">
        <v>47</v>
      </c>
      <c r="B2" s="11" t="str">
        <f aca="false">IFERROR(INDEX(Species!$B$2:$B$300,MATCH($A2,Species!$A$2:$A$300,0)),"NOT IN SPECIES")</f>
        <v>Common Indian krait</v>
      </c>
      <c r="C2" s="5" t="s">
        <v>684</v>
      </c>
      <c r="D2" s="24" t="n">
        <v>10000</v>
      </c>
      <c r="E2" s="24" t="n">
        <v>10000</v>
      </c>
      <c r="F2" s="5" t="s">
        <v>685</v>
      </c>
      <c r="G2" s="5" t="s">
        <v>686</v>
      </c>
      <c r="H2" s="5"/>
      <c r="I2" s="9" t="s">
        <v>687</v>
      </c>
      <c r="J2" s="5" t="s">
        <v>595</v>
      </c>
      <c r="K2" s="5" t="s">
        <v>625</v>
      </c>
      <c r="L2" s="9" t="s">
        <v>688</v>
      </c>
      <c r="M2" s="11" t="str">
        <f aca="false">IF(E2="","",IF(D2="","&lt;"&amp;IF(INT(E2)=E2,TEXT(E2,"#,##0"),TEXT(E2,"#,##0.0")),IF(D2=E2,IF(INT(D2)=D2,TEXT(D2,"#,##0"),TEXT(D2,"#,##0.0")),IF(INT(D2)=D2,TEXT(D2,"#,##0"),TEXT(D2,"#,##0.0"))&amp;"-"&amp;IF(INT(E2)=E2,TEXT(E2,"#,##0"),TEXT(E2,"#,##0.0"))))&amp;IF(F2="%","%","")&amp;IF(G2&lt;&gt;""," ("&amp;G2&amp;")","")&amp;IF(H2&lt;&gt;""," ["&amp;H2&amp;"]","")&amp;IF(J2="D"," *",""))</f>
        <v>10,000 (India) *</v>
      </c>
      <c r="N2" s="11" t="str">
        <f aca="false">IF(K2="Used",A2&amp;"|"&amp;C2,"")</f>
        <v/>
      </c>
    </row>
    <row r="3" customFormat="false" ht="14.25" hidden="false" customHeight="true" outlineLevel="0" collapsed="false">
      <c r="A3" s="4" t="s">
        <v>66</v>
      </c>
      <c r="B3" s="11" t="str">
        <f aca="false">IFERROR(INDEX(Species!$B$2:$B$300,MATCH($A3,Species!$A$2:$A$300,0)),"NOT IN SPECIES")</f>
        <v>Malayan krait</v>
      </c>
      <c r="C3" s="5" t="s">
        <v>9</v>
      </c>
      <c r="D3" s="24" t="n">
        <v>60</v>
      </c>
      <c r="E3" s="24" t="n">
        <v>70</v>
      </c>
      <c r="F3" s="5" t="s">
        <v>689</v>
      </c>
      <c r="G3" s="5"/>
      <c r="H3" s="5" t="s">
        <v>690</v>
      </c>
      <c r="I3" s="9" t="s">
        <v>687</v>
      </c>
      <c r="J3" s="5" t="s">
        <v>595</v>
      </c>
      <c r="K3" s="5" t="s">
        <v>597</v>
      </c>
      <c r="L3" s="9" t="s">
        <v>691</v>
      </c>
      <c r="M3" s="11" t="str">
        <f aca="false">IF(E3="","",IF(D3="","&lt;"&amp;IF(INT(E3)=E3,TEXT(E3,"#,##0"),TEXT(E3,"#,##0.0")),IF(D3=E3,IF(INT(D3)=D3,TEXT(D3,"#,##0"),TEXT(D3,"#,##0.0")),IF(INT(D3)=D3,TEXT(D3,"#,##0"),TEXT(D3,"#,##0.0"))&amp;"-"&amp;IF(INT(E3)=E3,TEXT(E3,"#,##0"),TEXT(E3,"#,##0.0"))))&amp;IF(F3="%","%","")&amp;IF(G3&lt;&gt;""," ("&amp;G3&amp;")","")&amp;IF(H3&lt;&gt;""," ["&amp;H3&amp;"]","")&amp;IF(J3="D"," *",""))</f>
        <v>60-70% [untreated] *</v>
      </c>
      <c r="N3" s="11" t="str">
        <f aca="false">IF(K3="Used",A3&amp;"|"&amp;C3,"")</f>
        <v/>
      </c>
    </row>
    <row r="4" customFormat="false" ht="14.25" hidden="false" customHeight="true" outlineLevel="0" collapsed="false">
      <c r="A4" s="4" t="s">
        <v>43</v>
      </c>
      <c r="B4" s="11" t="str">
        <f aca="false">IFERROR(INDEX(Species!$B$2:$B$300,MATCH($A4,Species!$A$2:$A$300,0)),"NOT IN SPECIES")</f>
        <v>Eastern diamondback rattlesnake</v>
      </c>
      <c r="C4" s="5" t="s">
        <v>684</v>
      </c>
      <c r="D4" s="24"/>
      <c r="E4" s="24" t="n">
        <v>1</v>
      </c>
      <c r="F4" s="5" t="s">
        <v>685</v>
      </c>
      <c r="G4" s="5" t="s">
        <v>692</v>
      </c>
      <c r="H4" s="5"/>
      <c r="I4" s="9" t="s">
        <v>687</v>
      </c>
      <c r="J4" s="5" t="s">
        <v>595</v>
      </c>
      <c r="K4" s="5" t="s">
        <v>585</v>
      </c>
      <c r="L4" s="9" t="s">
        <v>693</v>
      </c>
      <c r="M4" s="11" t="str">
        <f aca="false">IF(E4="","",IF(D4="","&lt;"&amp;IF(INT(E4)=E4,TEXT(E4,"#,##0"),TEXT(E4,"#,##0.0")),IF(D4=E4,IF(INT(D4)=D4,TEXT(D4,"#,##0"),TEXT(D4,"#,##0.0")),IF(INT(D4)=D4,TEXT(D4,"#,##0"),TEXT(D4,"#,##0.0"))&amp;"-"&amp;IF(INT(E4)=E4,TEXT(E4,"#,##0"),TEXT(E4,"#,##0.0"))))&amp;IF(F4="%","%","")&amp;IF(G4&lt;&gt;""," ("&amp;G4&amp;")","")&amp;IF(H4&lt;&gt;""," ["&amp;H4&amp;"]","")&amp;IF(J4="D"," *",""))</f>
        <v>&lt;1 (USA) *</v>
      </c>
      <c r="N4" s="11" t="str">
        <f aca="false">IF(K4="Used",A4&amp;"|"&amp;C4,"")</f>
        <v>Crotalus adamanteus|Annual deaths</v>
      </c>
    </row>
    <row r="5" customFormat="false" ht="14.25" hidden="false" customHeight="true" outlineLevel="0" collapsed="false">
      <c r="A5" s="4" t="s">
        <v>18</v>
      </c>
      <c r="B5" s="11" t="str">
        <f aca="false">IFERROR(INDEX(Species!$B$2:$B$300,MATCH($A5,Species!$A$2:$A$300,0)),"NOT IN SPECIES")</f>
        <v>Russell's viper</v>
      </c>
      <c r="C5" s="5" t="s">
        <v>684</v>
      </c>
      <c r="D5" s="24" t="n">
        <v>25000</v>
      </c>
      <c r="E5" s="24" t="n">
        <v>25000</v>
      </c>
      <c r="F5" s="5" t="s">
        <v>685</v>
      </c>
      <c r="G5" s="5" t="s">
        <v>686</v>
      </c>
      <c r="H5" s="5"/>
      <c r="I5" s="9" t="s">
        <v>687</v>
      </c>
      <c r="J5" s="5" t="s">
        <v>595</v>
      </c>
      <c r="K5" s="5" t="s">
        <v>625</v>
      </c>
      <c r="L5" s="9" t="s">
        <v>688</v>
      </c>
      <c r="M5" s="11" t="str">
        <f aca="false">IF(E5="","",IF(D5="","&lt;"&amp;IF(INT(E5)=E5,TEXT(E5,"#,##0"),TEXT(E5,"#,##0.0")),IF(D5=E5,IF(INT(D5)=D5,TEXT(D5,"#,##0"),TEXT(D5,"#,##0.0")),IF(INT(D5)=D5,TEXT(D5,"#,##0"),TEXT(D5,"#,##0.0"))&amp;"-"&amp;IF(INT(E5)=E5,TEXT(E5,"#,##0"),TEXT(E5,"#,##0.0"))))&amp;IF(F5="%","%","")&amp;IF(G5&lt;&gt;""," ("&amp;G5&amp;")","")&amp;IF(H5&lt;&gt;""," ["&amp;H5&amp;"]","")&amp;IF(J5="D"," *",""))</f>
        <v>25,000 (India) *</v>
      </c>
      <c r="N5" s="11" t="str">
        <f aca="false">IF(K5="Used",A5&amp;"|"&amp;C5,"")</f>
        <v/>
      </c>
    </row>
    <row r="6" customFormat="false" ht="14.25" hidden="false" customHeight="true" outlineLevel="0" collapsed="false">
      <c r="A6" s="4" t="s">
        <v>39</v>
      </c>
      <c r="B6" s="11" t="str">
        <f aca="false">IFERROR(INDEX(Species!$B$2:$B$300,MATCH($A6,Species!$A$2:$A$300,0)),"NOT IN SPECIES")</f>
        <v>Saw-scaled viper</v>
      </c>
      <c r="C6" s="5" t="s">
        <v>684</v>
      </c>
      <c r="D6" s="24" t="n">
        <v>5000</v>
      </c>
      <c r="E6" s="24" t="n">
        <v>5000</v>
      </c>
      <c r="F6" s="5" t="s">
        <v>685</v>
      </c>
      <c r="G6" s="5" t="s">
        <v>686</v>
      </c>
      <c r="H6" s="5"/>
      <c r="I6" s="9" t="s">
        <v>687</v>
      </c>
      <c r="J6" s="5" t="s">
        <v>595</v>
      </c>
      <c r="K6" s="5" t="s">
        <v>625</v>
      </c>
      <c r="L6" s="9" t="s">
        <v>688</v>
      </c>
      <c r="M6" s="11" t="str">
        <f aca="false">IF(E6="","",IF(D6="","&lt;"&amp;IF(INT(E6)=E6,TEXT(E6,"#,##0"),TEXT(E6,"#,##0.0")),IF(D6=E6,IF(INT(D6)=D6,TEXT(D6,"#,##0"),TEXT(D6,"#,##0.0")),IF(INT(D6)=D6,TEXT(D6,"#,##0"),TEXT(D6,"#,##0.0"))&amp;"-"&amp;IF(INT(E6)=E6,TEXT(E6,"#,##0"),TEXT(E6,"#,##0.0"))))&amp;IF(F6="%","%","")&amp;IF(G6&lt;&gt;""," ("&amp;G6&amp;")","")&amp;IF(H6&lt;&gt;""," ["&amp;H6&amp;"]","")&amp;IF(J6="D"," *",""))</f>
        <v>5,000 (India) *</v>
      </c>
      <c r="N6" s="11" t="str">
        <f aca="false">IF(K6="Used",A6&amp;"|"&amp;C6,"")</f>
        <v/>
      </c>
    </row>
    <row r="7" customFormat="false" ht="14.25" hidden="false" customHeight="true" outlineLevel="0" collapsed="false">
      <c r="A7" s="4" t="s">
        <v>46</v>
      </c>
      <c r="B7" s="11" t="str">
        <f aca="false">IFERROR(INDEX(Species!$B$2:$B$300,MATCH($A7,Species!$A$2:$A$300,0)),"NOT IN SPECIES")</f>
        <v>Chinese cobra</v>
      </c>
      <c r="C7" s="5" t="s">
        <v>9</v>
      </c>
      <c r="D7" s="24" t="n">
        <v>14.7</v>
      </c>
      <c r="E7" s="24" t="n">
        <v>14.7</v>
      </c>
      <c r="F7" s="5" t="s">
        <v>689</v>
      </c>
      <c r="G7" s="5" t="s">
        <v>694</v>
      </c>
      <c r="H7" s="5" t="s">
        <v>695</v>
      </c>
      <c r="I7" s="9" t="s">
        <v>687</v>
      </c>
      <c r="J7" s="5" t="s">
        <v>595</v>
      </c>
      <c r="K7" s="5" t="s">
        <v>585</v>
      </c>
      <c r="L7" s="9" t="s">
        <v>696</v>
      </c>
      <c r="M7" s="11" t="str">
        <f aca="false">IF(E7="","",IF(D7="","&lt;"&amp;IF(INT(E7)=E7,TEXT(E7,"#,##0"),TEXT(E7,"#,##0.0")),IF(D7=E7,IF(INT(D7)=D7,TEXT(D7,"#,##0"),TEXT(D7,"#,##0.0")),IF(INT(D7)=D7,TEXT(D7,"#,##0"),TEXT(D7,"#,##0.0"))&amp;"-"&amp;IF(INT(E7)=E7,TEXT(E7,"#,##0"),TEXT(E7,"#,##0.0"))))&amp;IF(F7="%","%","")&amp;IF(G7&lt;&gt;""," ("&amp;G7&amp;")","")&amp;IF(H7&lt;&gt;""," ["&amp;H7&amp;"]","")&amp;IF(J7="D"," *",""))</f>
        <v>14.7% (Taiwan, 1904-1938) [treatment unclear] *</v>
      </c>
      <c r="N7" s="11" t="str">
        <f aca="false">IF(K7="Used",A7&amp;"|"&amp;C7,"")</f>
        <v>Naja atra|Case-fatality rate</v>
      </c>
    </row>
    <row r="8" customFormat="false" ht="14.25" hidden="false" customHeight="true" outlineLevel="0" collapsed="false">
      <c r="A8" s="4" t="s">
        <v>42</v>
      </c>
      <c r="B8" s="11" t="str">
        <f aca="false">IFERROR(INDEX(Species!$B$2:$B$300,MATCH($A8,Species!$A$2:$A$300,0)),"NOT IN SPECIES")</f>
        <v>Indian cobra</v>
      </c>
      <c r="C8" s="5" t="s">
        <v>684</v>
      </c>
      <c r="D8" s="24" t="n">
        <v>15000</v>
      </c>
      <c r="E8" s="24" t="n">
        <v>15000</v>
      </c>
      <c r="F8" s="5" t="s">
        <v>685</v>
      </c>
      <c r="G8" s="5" t="s">
        <v>686</v>
      </c>
      <c r="H8" s="5"/>
      <c r="I8" s="9" t="s">
        <v>687</v>
      </c>
      <c r="J8" s="5" t="s">
        <v>595</v>
      </c>
      <c r="K8" s="5" t="s">
        <v>625</v>
      </c>
      <c r="L8" s="9" t="s">
        <v>688</v>
      </c>
      <c r="M8" s="11" t="str">
        <f aca="false">IF(E8="","",IF(D8="","&lt;"&amp;IF(INT(E8)=E8,TEXT(E8,"#,##0"),TEXT(E8,"#,##0.0")),IF(D8=E8,IF(INT(D8)=D8,TEXT(D8,"#,##0"),TEXT(D8,"#,##0.0")),IF(INT(D8)=D8,TEXT(D8,"#,##0"),TEXT(D8,"#,##0.0"))&amp;"-"&amp;IF(INT(E8)=E8,TEXT(E8,"#,##0"),TEXT(E8,"#,##0.0"))))&amp;IF(F8="%","%","")&amp;IF(G8&lt;&gt;""," ("&amp;G8&amp;")","")&amp;IF(H8&lt;&gt;""," ["&amp;H8&amp;"]","")&amp;IF(J8="D"," *",""))</f>
        <v>15,000 (India) *</v>
      </c>
      <c r="N8" s="11" t="str">
        <f aca="false">IF(K8="Used",A8&amp;"|"&amp;C8,"")</f>
        <v/>
      </c>
    </row>
    <row r="9" customFormat="false" ht="14.25" hidden="false" customHeight="true" outlineLevel="0" collapsed="false">
      <c r="A9" s="4" t="s">
        <v>20</v>
      </c>
      <c r="B9" s="11" t="str">
        <f aca="false">IFERROR(INDEX(Species!$B$2:$B$300,MATCH($A9,Species!$A$2:$A$300,0)),"NOT IN SPECIES")</f>
        <v>Inland taipan</v>
      </c>
      <c r="C9" s="5" t="s">
        <v>684</v>
      </c>
      <c r="D9" s="24" t="n">
        <v>0</v>
      </c>
      <c r="E9" s="24" t="n">
        <v>0</v>
      </c>
      <c r="F9" s="5" t="s">
        <v>685</v>
      </c>
      <c r="G9" s="5" t="s">
        <v>697</v>
      </c>
      <c r="H9" s="5"/>
      <c r="I9" s="9" t="s">
        <v>698</v>
      </c>
      <c r="J9" s="5" t="s">
        <v>584</v>
      </c>
      <c r="K9" s="5" t="s">
        <v>585</v>
      </c>
      <c r="L9" s="9" t="s">
        <v>699</v>
      </c>
      <c r="M9" s="11" t="str">
        <f aca="false">IF(E9="","",IF(D9="","&lt;"&amp;IF(INT(E9)=E9,TEXT(E9,"#,##0"),TEXT(E9,"#,##0.0")),IF(D9=E9,IF(INT(D9)=D9,TEXT(D9,"#,##0"),TEXT(D9,"#,##0.0")),IF(INT(D9)=D9,TEXT(D9,"#,##0"),TEXT(D9,"#,##0.0"))&amp;"-"&amp;IF(INT(E9)=E9,TEXT(E9,"#,##0"),TEXT(E9,"#,##0.0"))))&amp;IF(F9="%","%","")&amp;IF(G9&lt;&gt;""," ("&amp;G9&amp;")","")&amp;IF(H9&lt;&gt;""," ["&amp;H9&amp;"]","")&amp;IF(J9="D"," *",""))</f>
        <v>0 (Australia, 2005-2015)</v>
      </c>
      <c r="N9" s="11" t="str">
        <f aca="false">IF(K9="Used",A9&amp;"|"&amp;C9,"")</f>
        <v>Oxyuranus microlepidotus|Annual deaths</v>
      </c>
    </row>
    <row r="10" customFormat="false" ht="14.25" hidden="false" customHeight="true" outlineLevel="0" collapsed="false">
      <c r="A10" s="4" t="s">
        <v>28</v>
      </c>
      <c r="B10" s="11" t="str">
        <f aca="false">IFERROR(INDEX(Species!$B$2:$B$300,MATCH($A10,Species!$A$2:$A$300,0)),"NOT IN SPECIES")</f>
        <v>Eastern brown snake</v>
      </c>
      <c r="C10" s="5" t="s">
        <v>684</v>
      </c>
      <c r="D10" s="24" t="n">
        <v>1.7</v>
      </c>
      <c r="E10" s="24" t="n">
        <v>1.7</v>
      </c>
      <c r="F10" s="5" t="s">
        <v>685</v>
      </c>
      <c r="G10" s="5" t="s">
        <v>700</v>
      </c>
      <c r="H10" s="5"/>
      <c r="I10" s="9" t="s">
        <v>698</v>
      </c>
      <c r="J10" s="5" t="s">
        <v>584</v>
      </c>
      <c r="K10" s="5" t="s">
        <v>585</v>
      </c>
      <c r="L10" s="9" t="s">
        <v>701</v>
      </c>
      <c r="M10" s="11" t="str">
        <f aca="false">IF(E10="","",IF(D10="","&lt;"&amp;IF(INT(E10)=E10,TEXT(E10,"#,##0"),TEXT(E10,"#,##0.0")),IF(D10=E10,IF(INT(D10)=D10,TEXT(D10,"#,##0"),TEXT(D10,"#,##0.0")),IF(INT(D10)=D10,TEXT(D10,"#,##0"),TEXT(D10,"#,##0.0"))&amp;"-"&amp;IF(INT(E10)=E10,TEXT(E10,"#,##0"),TEXT(E10,"#,##0.0"))))&amp;IF(F10="%","%","")&amp;IF(G10&lt;&gt;""," ("&amp;G10&amp;")","")&amp;IF(H10&lt;&gt;""," ["&amp;H10&amp;"]","")&amp;IF(J10="D"," *",""))</f>
        <v>1.7 (Australia 2005-2015, all brown snakes)</v>
      </c>
      <c r="N10" s="11" t="str">
        <f aca="false">IF(K10="Used",A10&amp;"|"&amp;C10,"")</f>
        <v>Pseudonaja textilis|Annual deaths</v>
      </c>
    </row>
    <row r="11" customFormat="false" ht="45.75" hidden="false" customHeight="true" outlineLevel="0" collapsed="false">
      <c r="A11" s="4" t="s">
        <v>66</v>
      </c>
      <c r="B11" s="11" t="str">
        <f aca="false">IFERROR(INDEX(Species!$B$2:$B$300,MATCH($A11,Species!$A$2:$A$300,0)),"NOT IN SPECIES")</f>
        <v>Malayan krait</v>
      </c>
      <c r="C11" s="5" t="s">
        <v>9</v>
      </c>
      <c r="D11" s="24" t="n">
        <v>7.4</v>
      </c>
      <c r="E11" s="24" t="n">
        <v>7.4</v>
      </c>
      <c r="F11" s="5" t="s">
        <v>689</v>
      </c>
      <c r="G11" s="5" t="s">
        <v>702</v>
      </c>
      <c r="H11" s="5" t="s">
        <v>695</v>
      </c>
      <c r="I11" s="9" t="s">
        <v>703</v>
      </c>
      <c r="J11" s="5" t="s">
        <v>584</v>
      </c>
      <c r="K11" s="5" t="s">
        <v>585</v>
      </c>
      <c r="L11" s="9" t="s">
        <v>704</v>
      </c>
      <c r="M11" s="18" t="str">
        <f aca="false">IF(E11="","",IF(D11="","&lt;"&amp;IF(INT(E11)=E11,TEXT(E11,"#,##0"),TEXT(E11,"#,##0.0")),IF(D11=E11,IF(INT(D11)=D11,TEXT(D11,"#,##0"),TEXT(D11,"#,##0.0")),IF(INT(D11)=D11,TEXT(D11,"#,##0"),TEXT(D11,"#,##0.0"))&amp;"-"&amp;IF(INT(E11)=E11,TEXT(E11,"#,##0"),TEXT(E11,"#,##0.0"))))&amp;IF(F11="%","%","")&amp;IF(G11&lt;&gt;""," ("&amp;G11&amp;")","")&amp;IF(H11&lt;&gt;""," ["&amp;H11&amp;"]","")&amp;IF(J11="D"," *",""))</f>
        <v>7.4% (Thailand, poison centre cases) [treatment unclear]</v>
      </c>
      <c r="N11" s="18" t="str">
        <f aca="false">IF(K11="Used",A11&amp;"|"&amp;C11,"")</f>
        <v>Bungarus candidus|Case-fatality rate</v>
      </c>
    </row>
    <row r="12" customFormat="false" ht="45.75" hidden="false" customHeight="true" outlineLevel="0" collapsed="false">
      <c r="A12" s="4" t="s">
        <v>27</v>
      </c>
      <c r="B12" s="11" t="str">
        <f aca="false">IFERROR(INDEX(Species!$B$2:$B$300,MATCH($A12,Species!$A$2:$A$300,0)),"NOT IN SPECIES")</f>
        <v>Tiger snake</v>
      </c>
      <c r="C12" s="5" t="s">
        <v>684</v>
      </c>
      <c r="D12" s="24" t="n">
        <v>0.4</v>
      </c>
      <c r="E12" s="24" t="n">
        <v>0.4</v>
      </c>
      <c r="F12" s="5" t="s">
        <v>685</v>
      </c>
      <c r="G12" s="5" t="s">
        <v>705</v>
      </c>
      <c r="H12" s="5"/>
      <c r="I12" s="9" t="s">
        <v>698</v>
      </c>
      <c r="J12" s="5" t="s">
        <v>584</v>
      </c>
      <c r="K12" s="5" t="s">
        <v>585</v>
      </c>
      <c r="L12" s="9" t="s">
        <v>706</v>
      </c>
      <c r="M12" s="18" t="str">
        <f aca="false">IF(E12="","",IF(D12="","&lt;"&amp;IF(INT(E12)=E12,TEXT(E12,"#,##0"),TEXT(E12,"#,##0.0")),IF(D12=E12,IF(INT(D12)=D12,TEXT(D12,"#,##0"),TEXT(D12,"#,##0.0")),IF(INT(D12)=D12,TEXT(D12,"#,##0"),TEXT(D12,"#,##0.0"))&amp;"-"&amp;IF(INT(E12)=E12,TEXT(E12,"#,##0"),TEXT(E12,"#,##0.0"))))&amp;IF(F12="%","%","")&amp;IF(G12&lt;&gt;""," ("&amp;G12&amp;")","")&amp;IF(H12&lt;&gt;""," ["&amp;H12&amp;"]","")&amp;IF(J12="D"," *",""))</f>
        <v>0.4 (Australia 2005-2015, tiger snakes)</v>
      </c>
      <c r="N12" s="18" t="str">
        <f aca="false">IF(K12="Used",A12&amp;"|"&amp;C12,"")</f>
        <v>Notechis scutatus|Annual deaths</v>
      </c>
    </row>
  </sheetData>
  <autoFilter ref="A1:N12"/>
  <dataValidations count="3">
    <dataValidation allowBlank="false" errorStyle="stop" operator="between" showDropDown="false" showErrorMessage="false" showInputMessage="false" sqref="C2:C1000" type="list">
      <formula1>"Annual deaths,Case-fatality rate"</formula1>
      <formula2>0</formula2>
    </dataValidation>
    <dataValidation allowBlank="false" errorStyle="stop" operator="between" showDropDown="false" showErrorMessage="false" showInputMessage="false" sqref="K2:K1000" type="list">
      <formula1>"Used,Alternative,Rejected"</formula1>
      <formula2>0</formula2>
    </dataValidation>
    <dataValidation allowBlank="true" errorStyle="stop" operator="between" showDropDown="false" showErrorMessage="false" showInputMessage="false" sqref="H2:H1000" type="list">
      <formula1>"untreated,treated,treatment unclear"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3" min="3" style="0" width="46"/>
    <col collapsed="false" customWidth="true" hidden="false" outlineLevel="0" max="4" min="4" style="0" width="60"/>
    <col collapsed="false" customWidth="true" hidden="false" outlineLevel="0" max="5" min="5" style="0" width="16"/>
    <col collapsed="false" customWidth="true" hidden="false" outlineLevel="0" max="6" min="6" style="0" width="14"/>
    <col collapsed="false" customWidth="true" hidden="false" outlineLevel="0" max="7" min="7" style="0" width="12"/>
  </cols>
  <sheetData>
    <row r="1" customFormat="false" ht="16.5" hidden="false" customHeight="true" outlineLevel="0" collapsed="false">
      <c r="A1" s="25" t="s">
        <v>707</v>
      </c>
    </row>
    <row r="2" customFormat="false" ht="14.25" hidden="false" customHeight="true" outlineLevel="0" collapsed="false">
      <c r="A2" s="5" t="s">
        <v>708</v>
      </c>
    </row>
    <row r="4" customFormat="false" ht="14.25" hidden="false" customHeight="true" outlineLevel="0" collapsed="false">
      <c r="A4" s="26" t="s">
        <v>709</v>
      </c>
    </row>
    <row r="5" customFormat="false" ht="26.25" hidden="false" customHeight="true" outlineLevel="0" collapsed="false">
      <c r="A5" s="27" t="s">
        <v>710</v>
      </c>
      <c r="B5" s="27" t="s">
        <v>711</v>
      </c>
      <c r="C5" s="27" t="s">
        <v>712</v>
      </c>
      <c r="D5" s="27" t="s">
        <v>713</v>
      </c>
      <c r="E5" s="27" t="s">
        <v>714</v>
      </c>
      <c r="F5" s="27" t="s">
        <v>715</v>
      </c>
      <c r="G5" s="27" t="s">
        <v>716</v>
      </c>
    </row>
    <row r="6" customFormat="false" ht="26.25" hidden="false" customHeight="true" outlineLevel="0" collapsed="false">
      <c r="A6" s="28" t="s">
        <v>10</v>
      </c>
      <c r="B6" s="29" t="n">
        <v>50</v>
      </c>
      <c r="C6" s="9" t="s">
        <v>717</v>
      </c>
      <c r="D6" s="9" t="s">
        <v>718</v>
      </c>
      <c r="E6" s="9" t="str">
        <f aca="false">IF(COUNT(Scores!K2:K300)=0,"-",TEXT(MIN(Scores!K2:K300),"0")&amp;" - "&amp;TEXT(MAX(Scores!K2:K300),"0"))</f>
        <v>0 - 100</v>
      </c>
      <c r="F6" s="30" t="n">
        <f aca="false">B6*(MAX(Scores!K2:K300)-MIN(Scores!K2:K300))</f>
        <v>5000</v>
      </c>
      <c r="G6" s="31" t="n">
        <f aca="false">IF(SUM($F$6:$F$7)=0,"-",F6/SUM($F$6:$F$7))</f>
        <v>0.5</v>
      </c>
    </row>
    <row r="7" customFormat="false" ht="26.25" hidden="false" customHeight="true" outlineLevel="0" collapsed="false">
      <c r="A7" s="28" t="s">
        <v>11</v>
      </c>
      <c r="B7" s="29" t="n">
        <v>50</v>
      </c>
      <c r="C7" s="9" t="s">
        <v>719</v>
      </c>
      <c r="D7" s="9" t="s">
        <v>720</v>
      </c>
      <c r="E7" s="9" t="str">
        <f aca="false">IF(COUNT(Scores!L2:L300)=0,"-",TEXT(MIN(Scores!L2:L300),"0")&amp;" - "&amp;TEXT(MAX(Scores!L2:L300),"0"))</f>
        <v>0 - 100</v>
      </c>
      <c r="F7" s="30" t="n">
        <f aca="false">B7*(MAX(Scores!L2:L300)-MIN(Scores!L2:L300))</f>
        <v>5000</v>
      </c>
      <c r="G7" s="31" t="n">
        <f aca="false">IF(SUM($F$6:$F$7)=0,"-",F7/SUM($F$6:$F$7))</f>
        <v>0.5</v>
      </c>
    </row>
    <row r="8" customFormat="false" ht="26.25" hidden="false" customHeight="true" outlineLevel="0" collapsed="false">
      <c r="A8" s="28" t="s">
        <v>721</v>
      </c>
      <c r="B8" s="28" t="n">
        <f aca="false">SUM(B6:B7)</f>
        <v>100</v>
      </c>
      <c r="C8" s="9" t="s">
        <v>722</v>
      </c>
    </row>
    <row r="10" customFormat="false" ht="14.25" hidden="false" customHeight="true" outlineLevel="0" collapsed="false">
      <c r="A10" s="26" t="s">
        <v>723</v>
      </c>
    </row>
    <row r="11" customFormat="false" ht="26.25" hidden="false" customHeight="true" outlineLevel="0" collapsed="false">
      <c r="A11" s="27" t="s">
        <v>710</v>
      </c>
      <c r="B11" s="27" t="s">
        <v>711</v>
      </c>
      <c r="C11" s="27" t="s">
        <v>712</v>
      </c>
      <c r="D11" s="27" t="s">
        <v>713</v>
      </c>
      <c r="E11" s="27" t="s">
        <v>714</v>
      </c>
      <c r="F11" s="27" t="s">
        <v>715</v>
      </c>
      <c r="G11" s="27" t="s">
        <v>716</v>
      </c>
    </row>
    <row r="12" customFormat="false" ht="26.25" hidden="false" customHeight="true" outlineLevel="0" collapsed="false">
      <c r="A12" s="28" t="s">
        <v>12</v>
      </c>
      <c r="B12" s="29" t="n">
        <v>25</v>
      </c>
      <c r="C12" s="9" t="s">
        <v>724</v>
      </c>
      <c r="D12" s="9" t="s">
        <v>725</v>
      </c>
      <c r="E12" s="9" t="str">
        <f aca="false">IF(COUNT(Scores!M2:M300)=0,"-",TEXT(MIN(Scores!M2:M300),"0")&amp;" - "&amp;TEXT(MAX(Scores!M2:M300),"0"))</f>
        <v>10 - 90</v>
      </c>
      <c r="F12" s="30" t="n">
        <f aca="false">B12*(MAX(Scores!M2:M300)-MIN(Scores!M2:M300))</f>
        <v>2000</v>
      </c>
      <c r="G12" s="31" t="n">
        <f aca="false">IF(SUM($F$12:$F$15)=0,"-",F12/SUM($F$12:$F$15))</f>
        <v>0.384615384615385</v>
      </c>
    </row>
    <row r="13" customFormat="false" ht="39" hidden="false" customHeight="true" outlineLevel="0" collapsed="false">
      <c r="A13" s="28" t="s">
        <v>13</v>
      </c>
      <c r="B13" s="29" t="n">
        <v>15</v>
      </c>
      <c r="C13" s="9" t="s">
        <v>726</v>
      </c>
      <c r="D13" s="9" t="s">
        <v>727</v>
      </c>
      <c r="E13" s="9" t="str">
        <f aca="false">IF(COUNT(Scores!N2:N300)=0,"-",TEXT(MIN(Scores!N2:N300),"0")&amp;" - "&amp;TEXT(MAX(Scores!N2:N300),"0"))</f>
        <v>10 - 90</v>
      </c>
      <c r="F13" s="30" t="n">
        <f aca="false">B13*(MAX(Scores!N2:N300)-MIN(Scores!N2:N300))</f>
        <v>1200</v>
      </c>
      <c r="G13" s="31" t="n">
        <f aca="false">IF(SUM($F$12:$F$15)=0,"-",F13/SUM($F$12:$F$15))</f>
        <v>0.230769230769231</v>
      </c>
    </row>
    <row r="14" customFormat="false" ht="39" hidden="false" customHeight="true" outlineLevel="0" collapsed="false">
      <c r="A14" s="28" t="s">
        <v>14</v>
      </c>
      <c r="B14" s="29" t="n">
        <v>15</v>
      </c>
      <c r="C14" s="9" t="s">
        <v>728</v>
      </c>
      <c r="D14" s="9" t="s">
        <v>729</v>
      </c>
      <c r="E14" s="9" t="str">
        <f aca="false">IF(COUNT(Scores!O2:O300)=0,"-",TEXT(MIN(Scores!O2:O300),"0")&amp;" - "&amp;TEXT(MAX(Scores!O2:O300),"0"))</f>
        <v>10 - 90</v>
      </c>
      <c r="F14" s="30" t="n">
        <f aca="false">B14*(MAX(Scores!O2:O300)-MIN(Scores!O2:O300))</f>
        <v>1200</v>
      </c>
      <c r="G14" s="31" t="n">
        <f aca="false">IF(SUM($F$12:$F$15)=0,"-",F14/SUM($F$12:$F$15))</f>
        <v>0.230769230769231</v>
      </c>
    </row>
    <row r="15" customFormat="false" ht="26.25" hidden="false" customHeight="true" outlineLevel="0" collapsed="false">
      <c r="A15" s="28" t="s">
        <v>15</v>
      </c>
      <c r="B15" s="29" t="n">
        <v>10</v>
      </c>
      <c r="C15" s="9" t="s">
        <v>730</v>
      </c>
      <c r="D15" s="9" t="s">
        <v>731</v>
      </c>
      <c r="E15" s="9" t="str">
        <f aca="false">IF(COUNT(Scores!P2:P300)=0,"-",TEXT(MIN(Scores!P2:P300),"0")&amp;" - "&amp;TEXT(MAX(Scores!P2:P300),"0"))</f>
        <v>10 - 90</v>
      </c>
      <c r="F15" s="30" t="n">
        <f aca="false">B15*(MAX(Scores!P2:P300)-MIN(Scores!P2:P300))</f>
        <v>800</v>
      </c>
      <c r="G15" s="31" t="n">
        <f aca="false">IF(SUM($F$12:$F$15)=0,"-",F15/SUM($F$12:$F$15))</f>
        <v>0.153846153846154</v>
      </c>
    </row>
    <row r="16" customFormat="false" ht="14.25" hidden="false" customHeight="true" outlineLevel="0" collapsed="false">
      <c r="A16" s="28" t="s">
        <v>721</v>
      </c>
      <c r="B16" s="28" t="n">
        <f aca="false">SUM(B12:B15)</f>
        <v>65</v>
      </c>
    </row>
    <row r="17" customFormat="false" ht="52.5" hidden="false" customHeight="true" outlineLevel="0" collapsed="false">
      <c r="A17" s="28" t="s">
        <v>732</v>
      </c>
      <c r="B17" s="29" t="n">
        <v>3</v>
      </c>
      <c r="C17" s="9" t="s">
        <v>733</v>
      </c>
    </row>
    <row r="19" customFormat="false" ht="14.25" hidden="false" customHeight="true" outlineLevel="0" collapsed="false">
      <c r="A19" s="26" t="s">
        <v>734</v>
      </c>
    </row>
    <row r="20" customFormat="false" ht="39" hidden="false" customHeight="true" outlineLevel="0" collapsed="false">
      <c r="A20" s="9" t="s">
        <v>735</v>
      </c>
      <c r="B20" s="29" t="n">
        <v>0.02</v>
      </c>
      <c r="C20" s="9" t="s">
        <v>736</v>
      </c>
    </row>
    <row r="21" customFormat="false" ht="14.25" hidden="false" customHeight="true" outlineLevel="0" collapsed="false">
      <c r="A21" s="9" t="s">
        <v>737</v>
      </c>
      <c r="B21" s="29" t="n">
        <v>0.98</v>
      </c>
    </row>
    <row r="22" customFormat="false" ht="14.25" hidden="false" customHeight="true" outlineLevel="0" collapsed="false">
      <c r="A22" s="9" t="s">
        <v>738</v>
      </c>
      <c r="B22" s="32" t="n">
        <f aca="false">PERCENTILE(Species!G2:G300,B20)</f>
        <v>0.0386</v>
      </c>
    </row>
    <row r="23" customFormat="false" ht="14.25" hidden="false" customHeight="true" outlineLevel="0" collapsed="false">
      <c r="A23" s="9" t="s">
        <v>739</v>
      </c>
      <c r="B23" s="32" t="n">
        <f aca="false">PERCENTILE(Species!G2:G300,B21)</f>
        <v>9.266</v>
      </c>
    </row>
    <row r="24" customFormat="false" ht="14.25" hidden="false" customHeight="true" outlineLevel="0" collapsed="false">
      <c r="A24" s="9" t="s">
        <v>740</v>
      </c>
      <c r="B24" s="33" t="n">
        <f aca="false">MIN(Species!L2:L300)</f>
        <v>0.7</v>
      </c>
    </row>
    <row r="25" customFormat="false" ht="14.25" hidden="false" customHeight="true" outlineLevel="0" collapsed="false">
      <c r="A25" s="9" t="s">
        <v>741</v>
      </c>
      <c r="B25" s="33" t="n">
        <f aca="false">MAX(Species!L2:L300)</f>
        <v>1102</v>
      </c>
    </row>
    <row r="27" customFormat="false" ht="14.25" hidden="false" customHeight="true" outlineLevel="0" collapsed="false">
      <c r="A27" s="26" t="s">
        <v>742</v>
      </c>
    </row>
    <row r="28" customFormat="false" ht="26.25" hidden="false" customHeight="true" outlineLevel="0" collapsed="false">
      <c r="A28" s="9" t="s">
        <v>743</v>
      </c>
      <c r="B28" s="29" t="n">
        <v>10</v>
      </c>
      <c r="C28" s="9" t="s">
        <v>744</v>
      </c>
    </row>
    <row r="29" customFormat="false" ht="26.25" hidden="false" customHeight="true" outlineLevel="0" collapsed="false">
      <c r="A29" s="9" t="s">
        <v>745</v>
      </c>
      <c r="B29" s="29" t="n">
        <v>90</v>
      </c>
      <c r="C29" s="9" t="s">
        <v>746</v>
      </c>
    </row>
    <row r="30" customFormat="false" ht="26.25" hidden="false" customHeight="true" outlineLevel="0" collapsed="false">
      <c r="A30" s="9" t="s">
        <v>747</v>
      </c>
      <c r="B30" s="29" t="s">
        <v>748</v>
      </c>
      <c r="C30" s="9" t="s">
        <v>749</v>
      </c>
    </row>
    <row r="32" customFormat="false" ht="14.25" hidden="false" customHeight="true" outlineLevel="0" collapsed="false">
      <c r="A32" s="26" t="s">
        <v>750</v>
      </c>
    </row>
    <row r="33" customFormat="false" ht="14.25" hidden="false" customHeight="true" outlineLevel="0" collapsed="false">
      <c r="A33" s="27" t="s">
        <v>751</v>
      </c>
      <c r="B33" s="27" t="s">
        <v>752</v>
      </c>
    </row>
    <row r="34" customFormat="false" ht="14.25" hidden="false" customHeight="true" outlineLevel="0" collapsed="false">
      <c r="A34" s="9" t="s">
        <v>180</v>
      </c>
      <c r="B34" s="29" t="n">
        <v>5</v>
      </c>
    </row>
    <row r="35" customFormat="false" ht="14.25" hidden="false" customHeight="true" outlineLevel="0" collapsed="false">
      <c r="A35" s="9" t="s">
        <v>167</v>
      </c>
      <c r="B35" s="29" t="n">
        <v>4</v>
      </c>
    </row>
    <row r="36" customFormat="false" ht="14.25" hidden="false" customHeight="true" outlineLevel="0" collapsed="false">
      <c r="A36" s="9" t="s">
        <v>173</v>
      </c>
      <c r="B36" s="29" t="n">
        <v>3</v>
      </c>
    </row>
    <row r="37" customFormat="false" ht="14.25" hidden="false" customHeight="true" outlineLevel="0" collapsed="false">
      <c r="A37" s="9" t="s">
        <v>150</v>
      </c>
      <c r="B37" s="29" t="n">
        <v>2</v>
      </c>
    </row>
    <row r="38" customFormat="false" ht="14.25" hidden="false" customHeight="true" outlineLevel="0" collapsed="false">
      <c r="A38" s="9" t="s">
        <v>159</v>
      </c>
      <c r="B38" s="29" t="n">
        <v>1</v>
      </c>
    </row>
    <row r="40" customFormat="false" ht="14.25" hidden="false" customHeight="true" outlineLevel="0" collapsed="false">
      <c r="A40" s="26" t="s">
        <v>753</v>
      </c>
    </row>
    <row r="41" customFormat="false" ht="14.25" hidden="false" customHeight="true" outlineLevel="0" collapsed="false">
      <c r="A41" s="27" t="s">
        <v>751</v>
      </c>
      <c r="B41" s="27" t="s">
        <v>752</v>
      </c>
    </row>
    <row r="42" customFormat="false" ht="14.25" hidden="false" customHeight="true" outlineLevel="0" collapsed="false">
      <c r="A42" s="9" t="s">
        <v>151</v>
      </c>
      <c r="B42" s="29" t="n">
        <v>1</v>
      </c>
    </row>
    <row r="43" customFormat="false" ht="14.25" hidden="false" customHeight="true" outlineLevel="0" collapsed="false">
      <c r="A43" s="9" t="s">
        <v>160</v>
      </c>
      <c r="B43" s="29" t="n">
        <v>2</v>
      </c>
    </row>
    <row r="44" customFormat="false" ht="14.25" hidden="false" customHeight="true" outlineLevel="0" collapsed="false">
      <c r="A44" s="9" t="s">
        <v>174</v>
      </c>
      <c r="B44" s="29" t="n">
        <v>3</v>
      </c>
    </row>
    <row r="45" customFormat="false" ht="14.25" hidden="false" customHeight="true" outlineLevel="0" collapsed="false">
      <c r="A45" s="9" t="s">
        <v>754</v>
      </c>
      <c r="B45" s="29" t="n">
        <v>4</v>
      </c>
    </row>
    <row r="46" customFormat="false" ht="14.25" hidden="false" customHeight="true" outlineLevel="0" collapsed="false">
      <c r="A46" s="9" t="s">
        <v>522</v>
      </c>
      <c r="B46" s="29" t="n">
        <v>5</v>
      </c>
    </row>
    <row r="48" customFormat="false" ht="14.25" hidden="false" customHeight="true" outlineLevel="0" collapsed="false">
      <c r="A48" s="26" t="s">
        <v>755</v>
      </c>
    </row>
    <row r="49" customFormat="false" ht="14.25" hidden="false" customHeight="true" outlineLevel="0" collapsed="false">
      <c r="A49" s="27" t="s">
        <v>756</v>
      </c>
      <c r="B49" s="27" t="s">
        <v>757</v>
      </c>
    </row>
    <row r="50" customFormat="false" ht="26.25" hidden="false" customHeight="true" outlineLevel="0" collapsed="false">
      <c r="A50" s="9" t="s">
        <v>758</v>
      </c>
      <c r="B50" s="9" t="n">
        <v>5</v>
      </c>
    </row>
    <row r="51" customFormat="false" ht="26.25" hidden="false" customHeight="true" outlineLevel="0" collapsed="false">
      <c r="A51" s="9" t="s">
        <v>759</v>
      </c>
      <c r="B51" s="9" t="n">
        <v>4</v>
      </c>
    </row>
    <row r="52" customFormat="false" ht="26.25" hidden="false" customHeight="true" outlineLevel="0" collapsed="false">
      <c r="A52" s="9" t="s">
        <v>760</v>
      </c>
      <c r="B52" s="9" t="n">
        <v>3</v>
      </c>
    </row>
    <row r="53" customFormat="false" ht="26.25" hidden="false" customHeight="true" outlineLevel="0" collapsed="false">
      <c r="A53" s="9" t="s">
        <v>761</v>
      </c>
      <c r="B53" s="9" t="n">
        <v>2</v>
      </c>
    </row>
    <row r="54" customFormat="false" ht="14.25" hidden="false" customHeight="true" outlineLevel="0" collapsed="false">
      <c r="A54" s="9" t="s">
        <v>762</v>
      </c>
      <c r="B54" s="9" t="n">
        <v>1</v>
      </c>
    </row>
    <row r="55" customFormat="false" ht="39" hidden="false" customHeight="true" outlineLevel="0" collapsed="false">
      <c r="A55" s="9" t="s">
        <v>763</v>
      </c>
    </row>
    <row r="57" customFormat="false" ht="14.25" hidden="false" customHeight="true" outlineLevel="0" collapsed="false">
      <c r="A57" s="34" t="s">
        <v>764</v>
      </c>
    </row>
    <row r="58" customFormat="false" ht="23.25" hidden="false" customHeight="true" outlineLevel="0" collapsed="false">
      <c r="A58" s="35" t="s">
        <v>757</v>
      </c>
      <c r="B58" s="35" t="s">
        <v>711</v>
      </c>
      <c r="C58" s="35" t="s">
        <v>765</v>
      </c>
      <c r="D58" s="35" t="s">
        <v>577</v>
      </c>
      <c r="E58" s="35" t="s">
        <v>714</v>
      </c>
      <c r="F58" s="35" t="s">
        <v>715</v>
      </c>
      <c r="G58" s="35" t="s">
        <v>716</v>
      </c>
    </row>
    <row r="59" customFormat="false" ht="54.75" hidden="false" customHeight="true" outlineLevel="0" collapsed="false">
      <c r="A59" s="36" t="s">
        <v>766</v>
      </c>
      <c r="B59" s="37" t="n">
        <v>50</v>
      </c>
      <c r="C59" s="38" t="s">
        <v>767</v>
      </c>
      <c r="D59" s="38" t="s">
        <v>768</v>
      </c>
      <c r="E59" s="38" t="str">
        <f aca="false">IF(COUNT(Scores!C2:C300)=0,"-",TEXT(MIN(Scores!C2:C300),"0")&amp;" - "&amp;TEXT(MAX(Scores!C2:C300),"0"))</f>
        <v>32 - 90</v>
      </c>
      <c r="F59" s="38" t="n">
        <f aca="false">B59*(MAX(Scores!C2:C300)-MIN(Scores!C2:C300))</f>
        <v>2908.87166097373</v>
      </c>
      <c r="G59" s="39" t="n">
        <f aca="false">IF(SUM($F$59:$F$60)=0,"-",F59/SUM($F$59:$F$60))</f>
        <v>0.479796643984188</v>
      </c>
    </row>
    <row r="60" customFormat="false" ht="14.25" hidden="false" customHeight="true" outlineLevel="0" collapsed="false">
      <c r="A60" s="36" t="s">
        <v>769</v>
      </c>
      <c r="B60" s="37" t="n">
        <v>50</v>
      </c>
      <c r="C60" s="38" t="s">
        <v>770</v>
      </c>
      <c r="D60" s="38"/>
      <c r="E60" s="38" t="str">
        <f aca="false">IF(COUNT(Scores!E2:E300)=0,"-",TEXT(MIN(Scores!E2:E300),"0")&amp;" - "&amp;TEXT(MAX(Scores!E2:E300),"0"))</f>
        <v>15 - 78</v>
      </c>
      <c r="F60" s="38" t="n">
        <f aca="false">B60*(MAX(Scores!E2:E300)-MIN(Scores!E2:E300))</f>
        <v>3153.84615384615</v>
      </c>
      <c r="G60" s="39" t="n">
        <f aca="false">IF(SUM($F$59:$F$60)=0,"-",F60/SUM($F$59:$F$60))</f>
        <v>0.520203356015812</v>
      </c>
    </row>
    <row r="61" customFormat="false" ht="54.75" hidden="false" customHeight="true" outlineLevel="0" collapsed="false">
      <c r="A61" s="36" t="s">
        <v>721</v>
      </c>
      <c r="B61" s="40" t="n">
        <f aca="false">SUM(B59:B60)</f>
        <v>100</v>
      </c>
      <c r="C61" s="38" t="s">
        <v>771</v>
      </c>
    </row>
  </sheetData>
  <dataValidations count="1">
    <dataValidation allowBlank="false" errorStyle="stop" operator="between" showDropDown="false" showErrorMessage="false" showInputMessage="false" sqref="B30" type="list">
      <formula1>"mortality,urgency"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34"/>
    <col collapsed="false" customWidth="true" hidden="false" outlineLevel="0" max="2" min="2" style="0" width="120"/>
  </cols>
  <sheetData>
    <row r="1" customFormat="false" ht="33" hidden="false" customHeight="true" outlineLevel="0" collapsed="false">
      <c r="A1" s="41" t="s">
        <v>772</v>
      </c>
    </row>
    <row r="3" customFormat="false" ht="52.5" hidden="false" customHeight="true" outlineLevel="0" collapsed="false">
      <c r="A3" s="28" t="s">
        <v>773</v>
      </c>
      <c r="B3" s="9" t="s">
        <v>774</v>
      </c>
    </row>
    <row r="4" customFormat="false" ht="26.25" hidden="false" customHeight="true" outlineLevel="0" collapsed="false">
      <c r="A4" s="28" t="s">
        <v>775</v>
      </c>
      <c r="B4" s="9" t="s">
        <v>776</v>
      </c>
    </row>
    <row r="6" customFormat="false" ht="14.25" hidden="false" customHeight="true" outlineLevel="0" collapsed="false">
      <c r="A6" s="42" t="s">
        <v>777</v>
      </c>
    </row>
    <row r="7" customFormat="false" ht="14.25" hidden="false" customHeight="true" outlineLevel="0" collapsed="false">
      <c r="A7" s="28" t="s">
        <v>778</v>
      </c>
      <c r="B7" s="9" t="s">
        <v>779</v>
      </c>
    </row>
    <row r="8" customFormat="false" ht="14.25" hidden="false" customHeight="true" outlineLevel="0" collapsed="false">
      <c r="A8" s="28" t="s">
        <v>780</v>
      </c>
      <c r="B8" s="9" t="s">
        <v>781</v>
      </c>
    </row>
    <row r="9" customFormat="false" ht="14.25" hidden="false" customHeight="true" outlineLevel="0" collapsed="false">
      <c r="A9" s="28" t="s">
        <v>782</v>
      </c>
      <c r="B9" s="9" t="s">
        <v>783</v>
      </c>
    </row>
    <row r="10" customFormat="false" ht="14.25" hidden="false" customHeight="true" outlineLevel="0" collapsed="false">
      <c r="A10" s="28" t="s">
        <v>784</v>
      </c>
      <c r="B10" s="9" t="s">
        <v>785</v>
      </c>
    </row>
    <row r="11" customFormat="false" ht="14.25" hidden="false" customHeight="true" outlineLevel="0" collapsed="false">
      <c r="A11" s="28" t="s">
        <v>786</v>
      </c>
      <c r="B11" s="9" t="s">
        <v>787</v>
      </c>
    </row>
    <row r="12" customFormat="false" ht="14.25" hidden="false" customHeight="true" outlineLevel="0" collapsed="false">
      <c r="A12" s="28" t="s">
        <v>788</v>
      </c>
      <c r="B12" s="9" t="s">
        <v>789</v>
      </c>
    </row>
    <row r="13" customFormat="false" ht="26.25" hidden="false" customHeight="true" outlineLevel="0" collapsed="false">
      <c r="A13" s="28" t="s">
        <v>790</v>
      </c>
      <c r="B13" s="9" t="s">
        <v>791</v>
      </c>
    </row>
    <row r="14" customFormat="false" ht="14.25" hidden="false" customHeight="true" outlineLevel="0" collapsed="false">
      <c r="A14" s="28" t="s">
        <v>792</v>
      </c>
      <c r="B14" s="9" t="s">
        <v>793</v>
      </c>
    </row>
    <row r="15" customFormat="false" ht="14.25" hidden="false" customHeight="true" outlineLevel="0" collapsed="false">
      <c r="A15" s="28" t="s">
        <v>794</v>
      </c>
      <c r="B15" s="9" t="s">
        <v>795</v>
      </c>
    </row>
    <row r="17" customFormat="false" ht="27" hidden="false" customHeight="true" outlineLevel="0" collapsed="false">
      <c r="A17" s="42" t="s">
        <v>796</v>
      </c>
    </row>
    <row r="18" customFormat="false" ht="26.25" hidden="false" customHeight="true" outlineLevel="0" collapsed="false">
      <c r="A18" s="28" t="s">
        <v>797</v>
      </c>
      <c r="B18" s="9" t="s">
        <v>798</v>
      </c>
    </row>
    <row r="19" customFormat="false" ht="39" hidden="false" customHeight="true" outlineLevel="0" collapsed="false">
      <c r="A19" s="28" t="s">
        <v>799</v>
      </c>
      <c r="B19" s="9" t="s">
        <v>800</v>
      </c>
    </row>
    <row r="20" customFormat="false" ht="26.25" hidden="false" customHeight="true" outlineLevel="0" collapsed="false">
      <c r="A20" s="28" t="s">
        <v>801</v>
      </c>
      <c r="B20" s="9" t="s">
        <v>802</v>
      </c>
    </row>
    <row r="22" customFormat="false" ht="14.25" hidden="false" customHeight="true" outlineLevel="0" collapsed="false">
      <c r="A22" s="42" t="s">
        <v>803</v>
      </c>
    </row>
    <row r="23" customFormat="false" ht="26.25" hidden="false" customHeight="true" outlineLevel="0" collapsed="false">
      <c r="A23" s="28" t="s">
        <v>10</v>
      </c>
      <c r="B23" s="9" t="s">
        <v>804</v>
      </c>
    </row>
    <row r="24" customFormat="false" ht="26.25" hidden="false" customHeight="true" outlineLevel="0" collapsed="false">
      <c r="A24" s="28" t="s">
        <v>11</v>
      </c>
      <c r="B24" s="9" t="s">
        <v>805</v>
      </c>
    </row>
    <row r="25" customFormat="false" ht="14.25" hidden="false" customHeight="true" outlineLevel="0" collapsed="false">
      <c r="A25" s="28" t="s">
        <v>757</v>
      </c>
      <c r="B25" s="9" t="s">
        <v>806</v>
      </c>
    </row>
    <row r="26" customFormat="false" ht="26.25" hidden="false" customHeight="true" outlineLevel="0" collapsed="false">
      <c r="A26" s="28" t="s">
        <v>807</v>
      </c>
      <c r="B26" s="9" t="s">
        <v>808</v>
      </c>
    </row>
    <row r="28" customFormat="false" ht="14.25" hidden="false" customHeight="true" outlineLevel="0" collapsed="false">
      <c r="A28" s="42" t="s">
        <v>809</v>
      </c>
    </row>
    <row r="29" customFormat="false" ht="39" hidden="false" customHeight="true" outlineLevel="0" collapsed="false">
      <c r="A29" s="28" t="s">
        <v>810</v>
      </c>
      <c r="B29" s="9" t="s">
        <v>811</v>
      </c>
    </row>
    <row r="30" customFormat="false" ht="14.25" hidden="false" customHeight="true" outlineLevel="0" collapsed="false">
      <c r="A30" s="28" t="s">
        <v>747</v>
      </c>
      <c r="B30" s="9" t="s">
        <v>812</v>
      </c>
    </row>
    <row r="31" customFormat="false" ht="26.25" hidden="false" customHeight="true" outlineLevel="0" collapsed="false">
      <c r="A31" s="28" t="s">
        <v>13</v>
      </c>
      <c r="B31" s="9" t="s">
        <v>813</v>
      </c>
    </row>
    <row r="32" customFormat="false" ht="39" hidden="false" customHeight="true" outlineLevel="0" collapsed="false">
      <c r="A32" s="28" t="s">
        <v>807</v>
      </c>
      <c r="B32" s="9" t="s">
        <v>814</v>
      </c>
    </row>
    <row r="34" customFormat="false" ht="14.25" hidden="false" customHeight="true" outlineLevel="0" collapsed="false">
      <c r="A34" s="42" t="s">
        <v>815</v>
      </c>
    </row>
    <row r="35" customFormat="false" ht="39" hidden="false" customHeight="true" outlineLevel="0" collapsed="false">
      <c r="A35" s="28" t="s">
        <v>816</v>
      </c>
      <c r="B35" s="9" t="s">
        <v>817</v>
      </c>
    </row>
    <row r="36" customFormat="false" ht="14.25" hidden="false" customHeight="true" outlineLevel="0" collapsed="false">
      <c r="A36" s="28" t="s">
        <v>818</v>
      </c>
      <c r="B36" s="9" t="s">
        <v>819</v>
      </c>
    </row>
    <row r="38" customFormat="false" ht="14.25" hidden="false" customHeight="true" outlineLevel="0" collapsed="false">
      <c r="A38" s="42" t="s">
        <v>820</v>
      </c>
    </row>
    <row r="39" customFormat="false" ht="14.25" hidden="false" customHeight="true" outlineLevel="0" collapsed="false">
      <c r="A39" s="28" t="s">
        <v>6</v>
      </c>
      <c r="B39" s="9" t="s">
        <v>821</v>
      </c>
    </row>
    <row r="40" customFormat="false" ht="26.25" hidden="false" customHeight="true" outlineLevel="0" collapsed="false">
      <c r="A40" s="28" t="s">
        <v>7</v>
      </c>
      <c r="B40" s="9" t="s">
        <v>822</v>
      </c>
    </row>
    <row r="42" customFormat="false" ht="14.25" hidden="false" customHeight="true" outlineLevel="0" collapsed="false">
      <c r="A42" s="42" t="s">
        <v>823</v>
      </c>
    </row>
    <row r="43" customFormat="false" ht="26.25" hidden="false" customHeight="true" outlineLevel="0" collapsed="false">
      <c r="A43" s="28" t="s">
        <v>824</v>
      </c>
      <c r="B43" s="9" t="s">
        <v>825</v>
      </c>
    </row>
    <row r="44" customFormat="false" ht="26.25" hidden="false" customHeight="true" outlineLevel="0" collapsed="false">
      <c r="A44" s="28" t="s">
        <v>826</v>
      </c>
      <c r="B44" s="9" t="s">
        <v>827</v>
      </c>
    </row>
    <row r="45" customFormat="false" ht="26.25" hidden="false" customHeight="true" outlineLevel="0" collapsed="false">
      <c r="A45" s="28" t="s">
        <v>828</v>
      </c>
      <c r="B45" s="9" t="s">
        <v>829</v>
      </c>
    </row>
    <row r="46" customFormat="false" ht="26.25" hidden="false" customHeight="true" outlineLevel="0" collapsed="false">
      <c r="A46" s="28" t="s">
        <v>830</v>
      </c>
      <c r="B46" s="9" t="s">
        <v>831</v>
      </c>
    </row>
    <row r="47" customFormat="false" ht="14.25" hidden="false" customHeight="true" outlineLevel="0" collapsed="false">
      <c r="A47" s="28" t="s">
        <v>832</v>
      </c>
      <c r="B47" s="9" t="s">
        <v>833</v>
      </c>
    </row>
    <row r="49" customFormat="false" ht="14.25" hidden="false" customHeight="true" outlineLevel="0" collapsed="false">
      <c r="A49" s="42" t="s">
        <v>834</v>
      </c>
    </row>
    <row r="50" customFormat="false" ht="39" hidden="false" customHeight="true" outlineLevel="0" collapsed="false">
      <c r="A50" s="28" t="s">
        <v>835</v>
      </c>
      <c r="B50" s="9" t="s">
        <v>836</v>
      </c>
    </row>
    <row r="51" customFormat="false" ht="26.25" hidden="false" customHeight="true" outlineLevel="0" collapsed="false">
      <c r="A51" s="28" t="s">
        <v>837</v>
      </c>
      <c r="B51" s="9" t="s">
        <v>838</v>
      </c>
    </row>
    <row r="52" customFormat="false" ht="26.25" hidden="false" customHeight="true" outlineLevel="0" collapsed="false">
      <c r="A52" s="28" t="s">
        <v>839</v>
      </c>
      <c r="B52" s="9" t="s">
        <v>840</v>
      </c>
    </row>
    <row r="53" customFormat="false" ht="26.25" hidden="false" customHeight="true" outlineLevel="0" collapsed="false">
      <c r="A53" s="28" t="s">
        <v>841</v>
      </c>
      <c r="B53" s="9" t="s">
        <v>842</v>
      </c>
    </row>
    <row r="54" customFormat="false" ht="26.25" hidden="false" customHeight="true" outlineLevel="0" collapsed="false">
      <c r="A54" s="28" t="s">
        <v>843</v>
      </c>
      <c r="B54" s="9" t="s">
        <v>844</v>
      </c>
    </row>
    <row r="56" customFormat="false" ht="14.25" hidden="false" customHeight="true" outlineLevel="0" collapsed="false">
      <c r="A56" s="34" t="s">
        <v>845</v>
      </c>
    </row>
    <row r="57" customFormat="false" ht="27.75" hidden="false" customHeight="true" outlineLevel="0" collapsed="false">
      <c r="A57" s="36" t="s">
        <v>846</v>
      </c>
      <c r="B57" s="38" t="s">
        <v>847</v>
      </c>
    </row>
    <row r="58" customFormat="false" ht="27.75" hidden="false" customHeight="true" outlineLevel="0" collapsed="false">
      <c r="A58" s="36" t="s">
        <v>848</v>
      </c>
      <c r="B58" s="38" t="s">
        <v>849</v>
      </c>
    </row>
    <row r="59" customFormat="false" ht="27.75" hidden="false" customHeight="true" outlineLevel="0" collapsed="false">
      <c r="A59" s="36" t="s">
        <v>850</v>
      </c>
      <c r="B59" s="38" t="s">
        <v>851</v>
      </c>
    </row>
    <row r="60" customFormat="false" ht="27.75" hidden="false" customHeight="true" outlineLevel="0" collapsed="false">
      <c r="A60" s="36" t="s">
        <v>801</v>
      </c>
      <c r="B60" s="38" t="s">
        <v>852</v>
      </c>
    </row>
    <row r="62" customFormat="false" ht="14.25" hidden="false" customHeight="true" outlineLevel="0" collapsed="false">
      <c r="A62" s="34" t="s">
        <v>853</v>
      </c>
    </row>
    <row r="63" customFormat="false" ht="41.25" hidden="false" customHeight="true" outlineLevel="0" collapsed="false">
      <c r="A63" s="36" t="s">
        <v>854</v>
      </c>
      <c r="B63" s="38" t="s">
        <v>855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0"/>
    <col collapsed="false" customWidth="true" hidden="false" outlineLevel="0" max="4" min="4" style="0" width="10"/>
    <col collapsed="false" customWidth="true" hidden="false" outlineLevel="0" max="5" min="5" style="0" width="30"/>
    <col collapsed="false" customWidth="true" hidden="false" outlineLevel="0" max="6" min="6" style="0" width="26"/>
    <col collapsed="false" customWidth="true" hidden="false" outlineLevel="0" max="7" min="7" style="0" width="34"/>
    <col collapsed="false" customWidth="true" hidden="false" outlineLevel="0" max="8" min="8" style="0" width="18"/>
    <col collapsed="false" customWidth="true" hidden="false" outlineLevel="0" max="9" min="9" style="0" width="44"/>
  </cols>
  <sheetData>
    <row r="1" customFormat="false" ht="42" hidden="false" customHeight="true" outlineLevel="0" collapsed="false">
      <c r="A1" s="1" t="s">
        <v>0</v>
      </c>
      <c r="B1" s="1" t="s">
        <v>1</v>
      </c>
      <c r="C1" s="1" t="s">
        <v>856</v>
      </c>
      <c r="D1" s="1" t="s">
        <v>857</v>
      </c>
      <c r="E1" s="1" t="s">
        <v>858</v>
      </c>
      <c r="F1" s="1" t="s">
        <v>859</v>
      </c>
      <c r="G1" s="1" t="s">
        <v>860</v>
      </c>
      <c r="H1" s="1" t="s">
        <v>861</v>
      </c>
      <c r="I1" s="1" t="s">
        <v>862</v>
      </c>
    </row>
    <row r="2" customFormat="false" ht="26.25" hidden="false" customHeight="true" outlineLevel="0" collapsed="false">
      <c r="A2" s="5" t="s">
        <v>18</v>
      </c>
      <c r="B2" s="5" t="s">
        <v>146</v>
      </c>
      <c r="C2" s="9" t="s">
        <v>863</v>
      </c>
      <c r="D2" s="8" t="n">
        <v>5</v>
      </c>
      <c r="E2" s="9" t="s">
        <v>864</v>
      </c>
      <c r="F2" s="5" t="s">
        <v>150</v>
      </c>
      <c r="G2" s="9" t="s">
        <v>865</v>
      </c>
      <c r="H2" s="5" t="s">
        <v>151</v>
      </c>
      <c r="I2" s="9" t="s">
        <v>866</v>
      </c>
    </row>
    <row r="3" customFormat="false" ht="26.25" hidden="false" customHeight="true" outlineLevel="0" collapsed="false">
      <c r="A3" s="5" t="s">
        <v>22</v>
      </c>
      <c r="B3" s="5" t="s">
        <v>156</v>
      </c>
      <c r="C3" s="9" t="s">
        <v>867</v>
      </c>
      <c r="D3" s="8" t="n">
        <v>2</v>
      </c>
      <c r="E3" s="9" t="s">
        <v>868</v>
      </c>
      <c r="F3" s="5" t="s">
        <v>159</v>
      </c>
      <c r="G3" s="9" t="s">
        <v>869</v>
      </c>
      <c r="H3" s="5" t="s">
        <v>160</v>
      </c>
      <c r="I3" s="9" t="s">
        <v>870</v>
      </c>
    </row>
    <row r="4" customFormat="false" ht="26.25" hidden="false" customHeight="true" outlineLevel="0" collapsed="false">
      <c r="A4" s="5" t="s">
        <v>21</v>
      </c>
      <c r="B4" s="5" t="s">
        <v>163</v>
      </c>
      <c r="C4" s="9" t="s">
        <v>871</v>
      </c>
      <c r="D4" s="8" t="n">
        <v>3</v>
      </c>
      <c r="E4" s="9" t="s">
        <v>167</v>
      </c>
      <c r="F4" s="5" t="s">
        <v>167</v>
      </c>
      <c r="G4" s="9" t="s">
        <v>872</v>
      </c>
      <c r="H4" s="5" t="s">
        <v>151</v>
      </c>
      <c r="I4" s="9" t="s">
        <v>873</v>
      </c>
    </row>
    <row r="5" customFormat="false" ht="14.25" hidden="false" customHeight="true" outlineLevel="0" collapsed="false">
      <c r="A5" s="5" t="s">
        <v>23</v>
      </c>
      <c r="B5" s="5" t="s">
        <v>170</v>
      </c>
      <c r="C5" s="9" t="s">
        <v>874</v>
      </c>
      <c r="D5" s="8" t="n">
        <v>1</v>
      </c>
      <c r="E5" s="9" t="s">
        <v>875</v>
      </c>
      <c r="F5" s="5" t="s">
        <v>173</v>
      </c>
      <c r="G5" s="9" t="s">
        <v>174</v>
      </c>
      <c r="H5" s="5" t="s">
        <v>174</v>
      </c>
      <c r="I5" s="9" t="s">
        <v>876</v>
      </c>
    </row>
    <row r="6" customFormat="false" ht="26.25" hidden="false" customHeight="true" outlineLevel="0" collapsed="false">
      <c r="A6" s="5" t="s">
        <v>20</v>
      </c>
      <c r="B6" s="5" t="s">
        <v>177</v>
      </c>
      <c r="C6" s="9" t="s">
        <v>877</v>
      </c>
      <c r="D6" s="8" t="n">
        <v>2</v>
      </c>
      <c r="E6" s="9" t="s">
        <v>878</v>
      </c>
      <c r="F6" s="5" t="s">
        <v>180</v>
      </c>
      <c r="G6" s="9" t="s">
        <v>872</v>
      </c>
      <c r="H6" s="5" t="s">
        <v>151</v>
      </c>
      <c r="I6" s="9" t="s">
        <v>879</v>
      </c>
    </row>
    <row r="7" customFormat="false" ht="26.25" hidden="false" customHeight="true" outlineLevel="0" collapsed="false">
      <c r="A7" s="5" t="s">
        <v>25</v>
      </c>
      <c r="B7" s="5" t="s">
        <v>183</v>
      </c>
      <c r="C7" s="9" t="s">
        <v>880</v>
      </c>
      <c r="D7" s="8" t="n">
        <v>4</v>
      </c>
      <c r="E7" s="9" t="s">
        <v>868</v>
      </c>
      <c r="F7" s="5" t="s">
        <v>159</v>
      </c>
      <c r="G7" s="9" t="s">
        <v>869</v>
      </c>
      <c r="H7" s="5" t="s">
        <v>160</v>
      </c>
      <c r="I7" s="9" t="s">
        <v>881</v>
      </c>
    </row>
    <row r="8" customFormat="false" ht="26.25" hidden="false" customHeight="true" outlineLevel="0" collapsed="false">
      <c r="A8" s="5" t="s">
        <v>24</v>
      </c>
      <c r="B8" s="5" t="s">
        <v>187</v>
      </c>
      <c r="C8" s="9" t="s">
        <v>882</v>
      </c>
      <c r="D8" s="8" t="n">
        <v>4</v>
      </c>
      <c r="E8" s="9" t="s">
        <v>883</v>
      </c>
      <c r="F8" s="5" t="s">
        <v>180</v>
      </c>
      <c r="G8" s="9" t="s">
        <v>869</v>
      </c>
      <c r="H8" s="5" t="s">
        <v>160</v>
      </c>
      <c r="I8" s="9" t="s">
        <v>884</v>
      </c>
    </row>
    <row r="9" customFormat="false" ht="14.25" hidden="false" customHeight="true" outlineLevel="0" collapsed="false">
      <c r="A9" s="5" t="s">
        <v>29</v>
      </c>
      <c r="B9" s="5" t="s">
        <v>190</v>
      </c>
      <c r="C9" s="9" t="s">
        <v>885</v>
      </c>
      <c r="D9" s="8" t="n">
        <v>4</v>
      </c>
      <c r="E9" s="9" t="s">
        <v>886</v>
      </c>
      <c r="F9" s="5" t="s">
        <v>167</v>
      </c>
      <c r="G9" s="9" t="s">
        <v>160</v>
      </c>
      <c r="H9" s="5" t="s">
        <v>160</v>
      </c>
      <c r="I9" s="9" t="s">
        <v>887</v>
      </c>
    </row>
    <row r="10" customFormat="false" ht="14.25" hidden="false" customHeight="true" outlineLevel="0" collapsed="false">
      <c r="A10" s="5" t="s">
        <v>27</v>
      </c>
      <c r="B10" s="5" t="s">
        <v>195</v>
      </c>
      <c r="C10" s="9" t="s">
        <v>888</v>
      </c>
      <c r="D10" s="8" t="n">
        <v>3</v>
      </c>
      <c r="E10" s="9" t="s">
        <v>167</v>
      </c>
      <c r="F10" s="5" t="s">
        <v>167</v>
      </c>
      <c r="G10" s="9" t="s">
        <v>872</v>
      </c>
      <c r="H10" s="5" t="s">
        <v>151</v>
      </c>
      <c r="I10" s="9" t="s">
        <v>889</v>
      </c>
    </row>
    <row r="11" customFormat="false" ht="26.25" hidden="false" customHeight="true" outlineLevel="0" collapsed="false">
      <c r="A11" s="5" t="s">
        <v>28</v>
      </c>
      <c r="B11" s="5" t="s">
        <v>200</v>
      </c>
      <c r="C11" s="9" t="s">
        <v>890</v>
      </c>
      <c r="D11" s="8" t="n">
        <v>5</v>
      </c>
      <c r="E11" s="9" t="s">
        <v>891</v>
      </c>
      <c r="F11" s="5" t="s">
        <v>180</v>
      </c>
      <c r="G11" s="9" t="s">
        <v>872</v>
      </c>
      <c r="H11" s="5" t="s">
        <v>151</v>
      </c>
      <c r="I11" s="9" t="s">
        <v>892</v>
      </c>
    </row>
    <row r="12" customFormat="false" ht="14.25" hidden="false" customHeight="true" outlineLevel="0" collapsed="false">
      <c r="A12" s="5" t="s">
        <v>30</v>
      </c>
      <c r="B12" s="5" t="s">
        <v>205</v>
      </c>
      <c r="C12" s="9" t="s">
        <v>893</v>
      </c>
      <c r="D12" s="8" t="n">
        <v>3</v>
      </c>
      <c r="E12" s="9" t="s">
        <v>167</v>
      </c>
      <c r="F12" s="5" t="s">
        <v>167</v>
      </c>
      <c r="G12" s="9" t="s">
        <v>174</v>
      </c>
      <c r="H12" s="5" t="s">
        <v>174</v>
      </c>
      <c r="I12" s="9" t="s">
        <v>894</v>
      </c>
    </row>
    <row r="13" customFormat="false" ht="14.25" hidden="false" customHeight="true" outlineLevel="0" collapsed="false">
      <c r="A13" s="5" t="s">
        <v>32</v>
      </c>
      <c r="B13" s="5" t="s">
        <v>210</v>
      </c>
      <c r="C13" s="9" t="s">
        <v>895</v>
      </c>
      <c r="D13" s="8" t="n">
        <v>3</v>
      </c>
      <c r="E13" s="9" t="s">
        <v>875</v>
      </c>
      <c r="F13" s="5" t="s">
        <v>173</v>
      </c>
      <c r="G13" s="9" t="s">
        <v>896</v>
      </c>
      <c r="H13" s="5" t="s">
        <v>151</v>
      </c>
      <c r="I13" s="9" t="s">
        <v>897</v>
      </c>
    </row>
    <row r="14" customFormat="false" ht="14.25" hidden="false" customHeight="true" outlineLevel="0" collapsed="false">
      <c r="A14" s="5" t="s">
        <v>33</v>
      </c>
      <c r="B14" s="5" t="s">
        <v>215</v>
      </c>
      <c r="C14" s="9" t="s">
        <v>898</v>
      </c>
      <c r="D14" s="8" t="n">
        <v>3</v>
      </c>
      <c r="E14" s="9" t="s">
        <v>878</v>
      </c>
      <c r="F14" s="5" t="s">
        <v>180</v>
      </c>
      <c r="G14" s="9" t="s">
        <v>160</v>
      </c>
      <c r="H14" s="5" t="s">
        <v>160</v>
      </c>
      <c r="I14" s="9" t="s">
        <v>899</v>
      </c>
    </row>
    <row r="15" customFormat="false" ht="14.25" hidden="false" customHeight="true" outlineLevel="0" collapsed="false">
      <c r="A15" s="5" t="s">
        <v>43</v>
      </c>
      <c r="B15" s="5" t="s">
        <v>220</v>
      </c>
      <c r="C15" s="9" t="s">
        <v>900</v>
      </c>
      <c r="D15" s="8" t="n">
        <v>3</v>
      </c>
      <c r="E15" s="9" t="s">
        <v>868</v>
      </c>
      <c r="F15" s="5" t="s">
        <v>159</v>
      </c>
      <c r="G15" s="9" t="s">
        <v>896</v>
      </c>
      <c r="H15" s="5" t="s">
        <v>151</v>
      </c>
      <c r="I15" s="9" t="s">
        <v>901</v>
      </c>
    </row>
    <row r="16" customFormat="false" ht="14.25" hidden="false" customHeight="true" outlineLevel="0" collapsed="false">
      <c r="A16" s="5" t="s">
        <v>35</v>
      </c>
      <c r="B16" s="5" t="s">
        <v>224</v>
      </c>
      <c r="C16" s="9" t="s">
        <v>902</v>
      </c>
      <c r="D16" s="8" t="n">
        <v>4</v>
      </c>
      <c r="E16" s="9" t="s">
        <v>864</v>
      </c>
      <c r="F16" s="5" t="s">
        <v>150</v>
      </c>
      <c r="G16" s="9" t="s">
        <v>903</v>
      </c>
      <c r="H16" s="5" t="s">
        <v>160</v>
      </c>
      <c r="I16" s="9" t="s">
        <v>887</v>
      </c>
    </row>
    <row r="17" customFormat="false" ht="14.25" hidden="false" customHeight="true" outlineLevel="0" collapsed="false">
      <c r="A17" s="5" t="s">
        <v>34</v>
      </c>
      <c r="B17" s="5" t="s">
        <v>228</v>
      </c>
      <c r="C17" s="9" t="s">
        <v>904</v>
      </c>
      <c r="D17" s="8" t="n">
        <v>3</v>
      </c>
      <c r="E17" s="9" t="s">
        <v>167</v>
      </c>
      <c r="F17" s="5" t="s">
        <v>167</v>
      </c>
      <c r="G17" s="9" t="s">
        <v>160</v>
      </c>
      <c r="H17" s="5" t="s">
        <v>160</v>
      </c>
      <c r="I17" s="9" t="s">
        <v>905</v>
      </c>
    </row>
    <row r="18" customFormat="false" ht="26.25" hidden="false" customHeight="true" outlineLevel="0" collapsed="false">
      <c r="A18" s="5" t="s">
        <v>44</v>
      </c>
      <c r="B18" s="5" t="s">
        <v>233</v>
      </c>
      <c r="C18" s="9" t="s">
        <v>906</v>
      </c>
      <c r="D18" s="8" t="n">
        <v>2</v>
      </c>
      <c r="E18" s="9" t="s">
        <v>886</v>
      </c>
      <c r="F18" s="5" t="s">
        <v>167</v>
      </c>
      <c r="G18" s="9" t="s">
        <v>160</v>
      </c>
      <c r="H18" s="5" t="s">
        <v>160</v>
      </c>
      <c r="I18" s="9" t="s">
        <v>907</v>
      </c>
    </row>
    <row r="19" customFormat="false" ht="26.25" hidden="false" customHeight="true" outlineLevel="0" collapsed="false">
      <c r="A19" s="5" t="s">
        <v>42</v>
      </c>
      <c r="B19" s="5" t="s">
        <v>236</v>
      </c>
      <c r="C19" s="9" t="s">
        <v>908</v>
      </c>
      <c r="D19" s="8" t="n">
        <v>3</v>
      </c>
      <c r="E19" s="9" t="s">
        <v>886</v>
      </c>
      <c r="F19" s="5" t="s">
        <v>167</v>
      </c>
      <c r="G19" s="9" t="s">
        <v>865</v>
      </c>
      <c r="H19" s="5" t="s">
        <v>151</v>
      </c>
      <c r="I19" s="9" t="s">
        <v>909</v>
      </c>
    </row>
    <row r="20" customFormat="false" ht="26.25" hidden="false" customHeight="true" outlineLevel="0" collapsed="false">
      <c r="A20" s="5" t="s">
        <v>39</v>
      </c>
      <c r="B20" s="5" t="s">
        <v>241</v>
      </c>
      <c r="C20" s="9" t="s">
        <v>910</v>
      </c>
      <c r="D20" s="8" t="n">
        <v>5</v>
      </c>
      <c r="E20" s="9" t="s">
        <v>868</v>
      </c>
      <c r="F20" s="5" t="s">
        <v>159</v>
      </c>
      <c r="G20" s="9" t="s">
        <v>865</v>
      </c>
      <c r="H20" s="5" t="s">
        <v>151</v>
      </c>
      <c r="I20" s="9" t="s">
        <v>911</v>
      </c>
    </row>
    <row r="21" customFormat="false" ht="26.25" hidden="false" customHeight="true" outlineLevel="0" collapsed="false">
      <c r="A21" s="5" t="s">
        <v>36</v>
      </c>
      <c r="B21" s="5" t="s">
        <v>246</v>
      </c>
      <c r="C21" s="9" t="s">
        <v>912</v>
      </c>
      <c r="D21" s="8" t="n">
        <v>2</v>
      </c>
      <c r="E21" s="9" t="s">
        <v>864</v>
      </c>
      <c r="F21" s="5" t="s">
        <v>150</v>
      </c>
      <c r="G21" s="9" t="s">
        <v>160</v>
      </c>
      <c r="H21" s="5" t="s">
        <v>160</v>
      </c>
      <c r="I21" s="9" t="s">
        <v>887</v>
      </c>
    </row>
    <row r="22" customFormat="false" ht="14.25" hidden="false" customHeight="true" outlineLevel="0" collapsed="false">
      <c r="A22" s="5" t="s">
        <v>41</v>
      </c>
      <c r="B22" s="5" t="s">
        <v>250</v>
      </c>
      <c r="C22" s="9" t="s">
        <v>913</v>
      </c>
      <c r="D22" s="8" t="n">
        <v>4</v>
      </c>
      <c r="E22" s="9" t="s">
        <v>167</v>
      </c>
      <c r="F22" s="5" t="s">
        <v>167</v>
      </c>
      <c r="G22" s="9" t="s">
        <v>872</v>
      </c>
      <c r="H22" s="5" t="s">
        <v>151</v>
      </c>
      <c r="I22" s="9" t="s">
        <v>914</v>
      </c>
    </row>
    <row r="23" customFormat="false" ht="14.25" hidden="false" customHeight="true" outlineLevel="0" collapsed="false">
      <c r="A23" s="5" t="s">
        <v>49</v>
      </c>
      <c r="B23" s="5" t="s">
        <v>254</v>
      </c>
      <c r="C23" s="9" t="s">
        <v>915</v>
      </c>
      <c r="D23" s="8" t="n">
        <v>2</v>
      </c>
      <c r="E23" s="9" t="s">
        <v>868</v>
      </c>
      <c r="F23" s="5" t="s">
        <v>159</v>
      </c>
      <c r="G23" s="9" t="s">
        <v>869</v>
      </c>
      <c r="H23" s="5" t="s">
        <v>160</v>
      </c>
      <c r="I23" s="9" t="s">
        <v>916</v>
      </c>
    </row>
    <row r="24" customFormat="false" ht="26.25" hidden="false" customHeight="true" outlineLevel="0" collapsed="false">
      <c r="A24" s="5" t="s">
        <v>51</v>
      </c>
      <c r="B24" s="5" t="s">
        <v>258</v>
      </c>
      <c r="C24" s="9" t="s">
        <v>917</v>
      </c>
      <c r="D24" s="8" t="n">
        <v>5</v>
      </c>
      <c r="E24" s="9" t="s">
        <v>864</v>
      </c>
      <c r="F24" s="5" t="s">
        <v>150</v>
      </c>
      <c r="G24" s="9" t="s">
        <v>160</v>
      </c>
      <c r="H24" s="5" t="s">
        <v>160</v>
      </c>
      <c r="I24" s="9" t="s">
        <v>918</v>
      </c>
    </row>
    <row r="25" customFormat="false" ht="14.25" hidden="false" customHeight="true" outlineLevel="0" collapsed="false">
      <c r="A25" s="5" t="s">
        <v>56</v>
      </c>
      <c r="B25" s="5" t="s">
        <v>263</v>
      </c>
      <c r="C25" s="9" t="s">
        <v>919</v>
      </c>
      <c r="D25" s="8" t="n">
        <v>3</v>
      </c>
      <c r="E25" s="9" t="s">
        <v>868</v>
      </c>
      <c r="F25" s="5" t="s">
        <v>159</v>
      </c>
      <c r="G25" s="9" t="s">
        <v>896</v>
      </c>
      <c r="H25" s="5" t="s">
        <v>151</v>
      </c>
      <c r="I25" s="9" t="s">
        <v>920</v>
      </c>
    </row>
    <row r="26" customFormat="false" ht="14.25" hidden="false" customHeight="true" outlineLevel="0" collapsed="false">
      <c r="A26" s="5" t="s">
        <v>53</v>
      </c>
      <c r="B26" s="5" t="s">
        <v>266</v>
      </c>
      <c r="C26" s="9" t="s">
        <v>921</v>
      </c>
      <c r="D26" s="8" t="n">
        <v>3</v>
      </c>
      <c r="E26" s="9" t="s">
        <v>864</v>
      </c>
      <c r="F26" s="5" t="s">
        <v>150</v>
      </c>
      <c r="G26" s="9" t="s">
        <v>896</v>
      </c>
      <c r="H26" s="5" t="s">
        <v>151</v>
      </c>
      <c r="I26" s="9" t="s">
        <v>914</v>
      </c>
    </row>
    <row r="27" customFormat="false" ht="14.25" hidden="false" customHeight="true" outlineLevel="0" collapsed="false">
      <c r="A27" s="5" t="s">
        <v>52</v>
      </c>
      <c r="B27" s="5" t="s">
        <v>271</v>
      </c>
      <c r="C27" s="9" t="s">
        <v>922</v>
      </c>
      <c r="D27" s="8" t="n">
        <v>4</v>
      </c>
      <c r="E27" s="9" t="s">
        <v>864</v>
      </c>
      <c r="F27" s="5" t="s">
        <v>150</v>
      </c>
      <c r="G27" s="9" t="s">
        <v>160</v>
      </c>
      <c r="H27" s="5" t="s">
        <v>160</v>
      </c>
      <c r="I27" s="9" t="s">
        <v>923</v>
      </c>
    </row>
    <row r="28" customFormat="false" ht="26.25" hidden="false" customHeight="true" outlineLevel="0" collapsed="false">
      <c r="A28" s="5" t="s">
        <v>47</v>
      </c>
      <c r="B28" s="5" t="s">
        <v>276</v>
      </c>
      <c r="C28" s="9" t="s">
        <v>924</v>
      </c>
      <c r="D28" s="8" t="n">
        <v>3</v>
      </c>
      <c r="E28" s="9" t="s">
        <v>925</v>
      </c>
      <c r="F28" s="5" t="s">
        <v>167</v>
      </c>
      <c r="G28" s="9" t="s">
        <v>865</v>
      </c>
      <c r="H28" s="5" t="s">
        <v>151</v>
      </c>
      <c r="I28" s="9" t="s">
        <v>926</v>
      </c>
    </row>
    <row r="29" customFormat="false" ht="14.25" hidden="false" customHeight="true" outlineLevel="0" collapsed="false">
      <c r="A29" s="5" t="s">
        <v>48</v>
      </c>
      <c r="B29" s="5" t="s">
        <v>280</v>
      </c>
      <c r="C29" s="9" t="s">
        <v>927</v>
      </c>
      <c r="D29" s="8" t="n">
        <v>2</v>
      </c>
      <c r="E29" s="9" t="s">
        <v>167</v>
      </c>
      <c r="F29" s="5" t="s">
        <v>167</v>
      </c>
      <c r="G29" s="9" t="s">
        <v>896</v>
      </c>
      <c r="H29" s="5" t="s">
        <v>151</v>
      </c>
      <c r="I29" s="9" t="s">
        <v>928</v>
      </c>
    </row>
    <row r="30" customFormat="false" ht="14.25" hidden="false" customHeight="true" outlineLevel="0" collapsed="false">
      <c r="A30" s="5" t="s">
        <v>50</v>
      </c>
      <c r="B30" s="5" t="s">
        <v>283</v>
      </c>
      <c r="C30" s="9" t="s">
        <v>929</v>
      </c>
      <c r="D30" s="8" t="n">
        <v>2</v>
      </c>
      <c r="E30" s="9" t="s">
        <v>930</v>
      </c>
      <c r="F30" s="5" t="s">
        <v>159</v>
      </c>
      <c r="G30" s="9" t="s">
        <v>931</v>
      </c>
      <c r="H30" s="5" t="s">
        <v>151</v>
      </c>
      <c r="I30" s="9" t="s">
        <v>932</v>
      </c>
    </row>
    <row r="31" customFormat="false" ht="14.25" hidden="false" customHeight="true" outlineLevel="0" collapsed="false">
      <c r="A31" s="5" t="s">
        <v>64</v>
      </c>
      <c r="B31" s="5" t="s">
        <v>288</v>
      </c>
      <c r="C31" s="9" t="s">
        <v>933</v>
      </c>
      <c r="D31" s="8" t="n">
        <v>2</v>
      </c>
      <c r="E31" s="9" t="s">
        <v>868</v>
      </c>
      <c r="F31" s="5" t="s">
        <v>159</v>
      </c>
      <c r="G31" s="9" t="s">
        <v>896</v>
      </c>
      <c r="H31" s="5" t="s">
        <v>151</v>
      </c>
      <c r="I31" s="9" t="s">
        <v>928</v>
      </c>
    </row>
    <row r="32" customFormat="false" ht="14.25" hidden="false" customHeight="true" outlineLevel="0" collapsed="false">
      <c r="A32" s="5" t="s">
        <v>60</v>
      </c>
      <c r="B32" s="5" t="s">
        <v>293</v>
      </c>
      <c r="C32" s="9" t="s">
        <v>934</v>
      </c>
      <c r="D32" s="8" t="n">
        <v>2</v>
      </c>
      <c r="E32" s="9" t="s">
        <v>930</v>
      </c>
      <c r="F32" s="5" t="s">
        <v>159</v>
      </c>
      <c r="G32" s="9" t="s">
        <v>160</v>
      </c>
      <c r="H32" s="5" t="s">
        <v>160</v>
      </c>
      <c r="I32" s="9" t="s">
        <v>876</v>
      </c>
    </row>
    <row r="33" customFormat="false" ht="14.25" hidden="false" customHeight="true" outlineLevel="0" collapsed="false">
      <c r="A33" s="5" t="s">
        <v>62</v>
      </c>
      <c r="B33" s="5" t="s">
        <v>298</v>
      </c>
      <c r="C33" s="9" t="s">
        <v>935</v>
      </c>
      <c r="D33" s="8" t="n">
        <v>4</v>
      </c>
      <c r="E33" s="9" t="s">
        <v>864</v>
      </c>
      <c r="F33" s="5" t="s">
        <v>150</v>
      </c>
      <c r="G33" s="9" t="s">
        <v>160</v>
      </c>
      <c r="H33" s="5" t="s">
        <v>160</v>
      </c>
      <c r="I33" s="9" t="s">
        <v>876</v>
      </c>
    </row>
    <row r="34" customFormat="false" ht="39" hidden="false" customHeight="true" outlineLevel="0" collapsed="false">
      <c r="A34" s="5" t="s">
        <v>54</v>
      </c>
      <c r="B34" s="5" t="s">
        <v>303</v>
      </c>
      <c r="C34" s="9" t="s">
        <v>936</v>
      </c>
      <c r="D34" s="8" t="n">
        <v>2</v>
      </c>
      <c r="E34" s="9" t="s">
        <v>937</v>
      </c>
      <c r="F34" s="5" t="s">
        <v>159</v>
      </c>
      <c r="G34" s="9" t="s">
        <v>938</v>
      </c>
      <c r="H34" s="5" t="s">
        <v>174</v>
      </c>
      <c r="I34" s="9" t="s">
        <v>939</v>
      </c>
    </row>
    <row r="35" customFormat="false" ht="14.25" hidden="false" customHeight="true" outlineLevel="0" collapsed="false">
      <c r="A35" s="5" t="s">
        <v>83</v>
      </c>
      <c r="B35" s="5" t="s">
        <v>307</v>
      </c>
      <c r="C35" s="9" t="s">
        <v>940</v>
      </c>
      <c r="D35" s="8" t="n">
        <v>2</v>
      </c>
      <c r="E35" s="9" t="s">
        <v>941</v>
      </c>
      <c r="F35" s="5" t="s">
        <v>173</v>
      </c>
      <c r="G35" s="9" t="s">
        <v>872</v>
      </c>
      <c r="H35" s="5" t="s">
        <v>151</v>
      </c>
      <c r="I35" s="9" t="s">
        <v>876</v>
      </c>
    </row>
    <row r="36" customFormat="false" ht="14.25" hidden="false" customHeight="true" outlineLevel="0" collapsed="false">
      <c r="A36" s="5" t="s">
        <v>67</v>
      </c>
      <c r="B36" s="5" t="s">
        <v>311</v>
      </c>
      <c r="C36" s="9" t="s">
        <v>942</v>
      </c>
      <c r="D36" s="8" t="n">
        <v>2</v>
      </c>
      <c r="E36" s="9" t="s">
        <v>943</v>
      </c>
      <c r="F36" s="5" t="s">
        <v>167</v>
      </c>
      <c r="G36" s="9" t="s">
        <v>160</v>
      </c>
      <c r="H36" s="5" t="s">
        <v>160</v>
      </c>
      <c r="I36" s="9" t="s">
        <v>887</v>
      </c>
    </row>
    <row r="37" customFormat="false" ht="14.25" hidden="false" customHeight="true" outlineLevel="0" collapsed="false">
      <c r="A37" s="5" t="s">
        <v>59</v>
      </c>
      <c r="B37" s="5" t="s">
        <v>314</v>
      </c>
      <c r="C37" s="9" t="s">
        <v>944</v>
      </c>
      <c r="D37" s="8" t="n">
        <v>3</v>
      </c>
      <c r="E37" s="9" t="s">
        <v>930</v>
      </c>
      <c r="F37" s="5" t="s">
        <v>159</v>
      </c>
      <c r="G37" s="9" t="s">
        <v>160</v>
      </c>
      <c r="H37" s="5" t="s">
        <v>160</v>
      </c>
      <c r="I37" s="9" t="s">
        <v>876</v>
      </c>
    </row>
    <row r="38" customFormat="false" ht="26.25" hidden="false" customHeight="true" outlineLevel="0" collapsed="false">
      <c r="A38" s="5" t="s">
        <v>70</v>
      </c>
      <c r="B38" s="5" t="s">
        <v>319</v>
      </c>
      <c r="C38" s="9" t="s">
        <v>945</v>
      </c>
      <c r="D38" s="8" t="n">
        <v>3</v>
      </c>
      <c r="E38" s="9" t="s">
        <v>930</v>
      </c>
      <c r="F38" s="5" t="s">
        <v>159</v>
      </c>
      <c r="G38" s="9" t="s">
        <v>896</v>
      </c>
      <c r="H38" s="5" t="s">
        <v>151</v>
      </c>
      <c r="I38" s="9" t="s">
        <v>928</v>
      </c>
    </row>
    <row r="39" customFormat="false" ht="14.25" hidden="false" customHeight="true" outlineLevel="0" collapsed="false">
      <c r="A39" s="5" t="s">
        <v>71</v>
      </c>
      <c r="B39" s="5" t="s">
        <v>323</v>
      </c>
      <c r="C39" s="9" t="s">
        <v>946</v>
      </c>
      <c r="D39" s="8" t="n">
        <v>4</v>
      </c>
      <c r="E39" s="9" t="s">
        <v>864</v>
      </c>
      <c r="F39" s="5" t="s">
        <v>150</v>
      </c>
      <c r="G39" s="9" t="s">
        <v>903</v>
      </c>
      <c r="H39" s="5" t="s">
        <v>160</v>
      </c>
      <c r="I39" s="9" t="s">
        <v>947</v>
      </c>
    </row>
    <row r="40" customFormat="false" ht="14.25" hidden="false" customHeight="true" outlineLevel="0" collapsed="false">
      <c r="A40" s="5" t="s">
        <v>63</v>
      </c>
      <c r="B40" s="5" t="s">
        <v>326</v>
      </c>
      <c r="C40" s="9" t="s">
        <v>948</v>
      </c>
      <c r="D40" s="8" t="n">
        <v>1</v>
      </c>
      <c r="E40" s="9" t="s">
        <v>941</v>
      </c>
      <c r="F40" s="5" t="s">
        <v>173</v>
      </c>
      <c r="G40" s="9" t="s">
        <v>174</v>
      </c>
      <c r="H40" s="5" t="s">
        <v>174</v>
      </c>
      <c r="I40" s="9" t="s">
        <v>876</v>
      </c>
    </row>
    <row r="41" customFormat="false" ht="14.25" hidden="false" customHeight="true" outlineLevel="0" collapsed="false">
      <c r="A41" s="5" t="s">
        <v>74</v>
      </c>
      <c r="B41" s="5" t="s">
        <v>331</v>
      </c>
      <c r="C41" s="9" t="s">
        <v>949</v>
      </c>
      <c r="D41" s="8" t="n">
        <v>2</v>
      </c>
      <c r="E41" s="9" t="s">
        <v>930</v>
      </c>
      <c r="F41" s="5" t="s">
        <v>159</v>
      </c>
      <c r="G41" s="9" t="s">
        <v>160</v>
      </c>
      <c r="H41" s="5" t="s">
        <v>160</v>
      </c>
      <c r="I41" s="9" t="s">
        <v>876</v>
      </c>
    </row>
    <row r="42" customFormat="false" ht="14.25" hidden="false" customHeight="true" outlineLevel="0" collapsed="false">
      <c r="A42" s="5" t="s">
        <v>77</v>
      </c>
      <c r="B42" s="5" t="s">
        <v>335</v>
      </c>
      <c r="C42" s="9" t="s">
        <v>944</v>
      </c>
      <c r="D42" s="8" t="n">
        <v>3</v>
      </c>
      <c r="E42" s="9" t="s">
        <v>930</v>
      </c>
      <c r="F42" s="5" t="s">
        <v>159</v>
      </c>
      <c r="G42" s="9" t="s">
        <v>160</v>
      </c>
      <c r="H42" s="5" t="s">
        <v>160</v>
      </c>
      <c r="I42" s="9" t="s">
        <v>876</v>
      </c>
    </row>
    <row r="43" customFormat="false" ht="14.25" hidden="false" customHeight="true" outlineLevel="0" collapsed="false">
      <c r="A43" s="5" t="s">
        <v>75</v>
      </c>
      <c r="B43" s="5" t="s">
        <v>339</v>
      </c>
      <c r="C43" s="9" t="s">
        <v>950</v>
      </c>
      <c r="D43" s="8" t="n">
        <v>4</v>
      </c>
      <c r="E43" s="9" t="s">
        <v>930</v>
      </c>
      <c r="F43" s="5" t="s">
        <v>159</v>
      </c>
      <c r="G43" s="9" t="s">
        <v>160</v>
      </c>
      <c r="H43" s="5" t="s">
        <v>160</v>
      </c>
      <c r="I43" s="9" t="s">
        <v>951</v>
      </c>
    </row>
    <row r="44" customFormat="false" ht="14.25" hidden="false" customHeight="true" outlineLevel="0" collapsed="false">
      <c r="A44" s="5" t="s">
        <v>72</v>
      </c>
      <c r="B44" s="5" t="s">
        <v>342</v>
      </c>
      <c r="C44" s="9" t="s">
        <v>952</v>
      </c>
      <c r="D44" s="8" t="n">
        <v>2</v>
      </c>
      <c r="E44" s="9" t="s">
        <v>941</v>
      </c>
      <c r="F44" s="5" t="s">
        <v>173</v>
      </c>
      <c r="G44" s="9" t="s">
        <v>174</v>
      </c>
      <c r="H44" s="5" t="s">
        <v>174</v>
      </c>
      <c r="I44" s="9" t="s">
        <v>876</v>
      </c>
    </row>
    <row r="45" customFormat="false" ht="14.25" hidden="false" customHeight="true" outlineLevel="0" collapsed="false">
      <c r="A45" s="5" t="s">
        <v>78</v>
      </c>
      <c r="B45" s="5" t="s">
        <v>345</v>
      </c>
      <c r="C45" s="9" t="s">
        <v>953</v>
      </c>
      <c r="D45" s="8" t="n">
        <v>2</v>
      </c>
      <c r="E45" s="9" t="s">
        <v>941</v>
      </c>
      <c r="F45" s="5" t="s">
        <v>173</v>
      </c>
      <c r="G45" s="9" t="s">
        <v>954</v>
      </c>
      <c r="H45" s="5" t="s">
        <v>174</v>
      </c>
      <c r="I45" s="9" t="s">
        <v>939</v>
      </c>
    </row>
    <row r="46" customFormat="false" ht="14.25" hidden="false" customHeight="true" outlineLevel="0" collapsed="false">
      <c r="A46" s="5" t="s">
        <v>82</v>
      </c>
      <c r="B46" s="5" t="s">
        <v>349</v>
      </c>
      <c r="C46" s="9" t="s">
        <v>955</v>
      </c>
      <c r="D46" s="8" t="n">
        <v>4</v>
      </c>
      <c r="E46" s="9" t="s">
        <v>930</v>
      </c>
      <c r="F46" s="5" t="s">
        <v>159</v>
      </c>
      <c r="G46" s="9" t="s">
        <v>160</v>
      </c>
      <c r="H46" s="5" t="s">
        <v>160</v>
      </c>
      <c r="I46" s="9" t="s">
        <v>876</v>
      </c>
    </row>
    <row r="47" customFormat="false" ht="14.25" hidden="false" customHeight="true" outlineLevel="0" collapsed="false">
      <c r="A47" s="5" t="s">
        <v>80</v>
      </c>
      <c r="B47" s="5" t="s">
        <v>353</v>
      </c>
      <c r="C47" s="9" t="s">
        <v>956</v>
      </c>
      <c r="D47" s="8" t="n">
        <v>1</v>
      </c>
      <c r="E47" s="9" t="s">
        <v>941</v>
      </c>
      <c r="F47" s="5" t="s">
        <v>173</v>
      </c>
      <c r="G47" s="9" t="s">
        <v>174</v>
      </c>
      <c r="H47" s="5" t="s">
        <v>174</v>
      </c>
      <c r="I47" s="9" t="s">
        <v>876</v>
      </c>
    </row>
    <row r="48" customFormat="false" ht="14.25" hidden="false" customHeight="true" outlineLevel="0" collapsed="false">
      <c r="A48" s="5" t="s">
        <v>84</v>
      </c>
      <c r="B48" s="5" t="s">
        <v>358</v>
      </c>
      <c r="C48" s="9" t="s">
        <v>957</v>
      </c>
      <c r="D48" s="8" t="n">
        <v>2</v>
      </c>
      <c r="E48" s="9" t="s">
        <v>930</v>
      </c>
      <c r="F48" s="5" t="s">
        <v>159</v>
      </c>
      <c r="G48" s="9" t="s">
        <v>896</v>
      </c>
      <c r="H48" s="5" t="s">
        <v>151</v>
      </c>
      <c r="I48" s="9" t="s">
        <v>928</v>
      </c>
    </row>
    <row r="49" customFormat="false" ht="14.25" hidden="false" customHeight="true" outlineLevel="0" collapsed="false">
      <c r="A49" s="5" t="s">
        <v>76</v>
      </c>
      <c r="B49" s="5" t="s">
        <v>363</v>
      </c>
      <c r="C49" s="9" t="s">
        <v>958</v>
      </c>
      <c r="D49" s="8" t="n">
        <v>2</v>
      </c>
      <c r="E49" s="9" t="s">
        <v>941</v>
      </c>
      <c r="F49" s="5" t="s">
        <v>173</v>
      </c>
      <c r="G49" s="9" t="s">
        <v>174</v>
      </c>
      <c r="H49" s="5" t="s">
        <v>174</v>
      </c>
      <c r="I49" s="9" t="s">
        <v>876</v>
      </c>
    </row>
    <row r="50" customFormat="false" ht="14.25" hidden="false" customHeight="true" outlineLevel="0" collapsed="false">
      <c r="A50" s="5" t="s">
        <v>85</v>
      </c>
      <c r="B50" s="5" t="s">
        <v>368</v>
      </c>
      <c r="C50" s="9" t="s">
        <v>959</v>
      </c>
      <c r="D50" s="8" t="n">
        <v>2</v>
      </c>
      <c r="E50" s="9" t="s">
        <v>930</v>
      </c>
      <c r="F50" s="5" t="s">
        <v>159</v>
      </c>
      <c r="G50" s="9" t="s">
        <v>160</v>
      </c>
      <c r="H50" s="5" t="s">
        <v>160</v>
      </c>
      <c r="I50" s="9" t="s">
        <v>960</v>
      </c>
    </row>
    <row r="51" customFormat="false" ht="14.25" hidden="false" customHeight="true" outlineLevel="0" collapsed="false">
      <c r="A51" s="5" t="s">
        <v>86</v>
      </c>
      <c r="B51" s="5" t="s">
        <v>372</v>
      </c>
      <c r="C51" s="9" t="s">
        <v>961</v>
      </c>
      <c r="D51" s="8" t="n">
        <v>3</v>
      </c>
      <c r="E51" s="9" t="s">
        <v>930</v>
      </c>
      <c r="F51" s="5" t="s">
        <v>159</v>
      </c>
      <c r="G51" s="9" t="s">
        <v>160</v>
      </c>
      <c r="H51" s="5" t="s">
        <v>160</v>
      </c>
      <c r="I51" s="9" t="s">
        <v>914</v>
      </c>
    </row>
    <row r="52" customFormat="false" ht="26.25" hidden="false" customHeight="true" outlineLevel="0" collapsed="false">
      <c r="A52" s="5" t="s">
        <v>66</v>
      </c>
      <c r="B52" s="5" t="s">
        <v>376</v>
      </c>
      <c r="C52" s="9" t="s">
        <v>962</v>
      </c>
      <c r="D52" s="8" t="n">
        <v>3</v>
      </c>
      <c r="E52" s="9" t="s">
        <v>943</v>
      </c>
      <c r="F52" s="5" t="s">
        <v>167</v>
      </c>
      <c r="G52" s="9" t="s">
        <v>160</v>
      </c>
      <c r="H52" s="5" t="s">
        <v>160</v>
      </c>
      <c r="I52" s="9" t="s">
        <v>963</v>
      </c>
    </row>
    <row r="53" customFormat="false" ht="14.25" hidden="false" customHeight="true" outlineLevel="0" collapsed="false">
      <c r="A53" s="5" t="s">
        <v>19</v>
      </c>
      <c r="B53" s="5" t="s">
        <v>380</v>
      </c>
      <c r="C53" s="9" t="s">
        <v>964</v>
      </c>
      <c r="D53" s="8" t="n">
        <v>3</v>
      </c>
      <c r="E53" s="9" t="s">
        <v>167</v>
      </c>
      <c r="F53" s="5" t="s">
        <v>167</v>
      </c>
      <c r="G53" s="9" t="s">
        <v>869</v>
      </c>
      <c r="H53" s="5" t="s">
        <v>160</v>
      </c>
      <c r="I53" s="9" t="s">
        <v>887</v>
      </c>
    </row>
    <row r="54" customFormat="false" ht="14.25" hidden="false" customHeight="true" outlineLevel="0" collapsed="false">
      <c r="A54" s="5" t="s">
        <v>45</v>
      </c>
      <c r="B54" s="5" t="s">
        <v>385</v>
      </c>
      <c r="C54" s="9" t="s">
        <v>965</v>
      </c>
      <c r="D54" s="8" t="n">
        <v>3</v>
      </c>
      <c r="E54" s="9" t="s">
        <v>167</v>
      </c>
      <c r="F54" s="5" t="s">
        <v>167</v>
      </c>
      <c r="G54" s="9" t="s">
        <v>869</v>
      </c>
      <c r="H54" s="5" t="s">
        <v>160</v>
      </c>
      <c r="I54" s="9" t="s">
        <v>887</v>
      </c>
    </row>
    <row r="55" customFormat="false" ht="26.25" hidden="false" customHeight="true" outlineLevel="0" collapsed="false">
      <c r="A55" s="5" t="s">
        <v>37</v>
      </c>
      <c r="B55" s="5" t="s">
        <v>390</v>
      </c>
      <c r="C55" s="9" t="s">
        <v>966</v>
      </c>
      <c r="D55" s="8" t="n">
        <v>3</v>
      </c>
      <c r="E55" s="9" t="s">
        <v>167</v>
      </c>
      <c r="F55" s="5" t="s">
        <v>167</v>
      </c>
      <c r="G55" s="9" t="s">
        <v>869</v>
      </c>
      <c r="H55" s="5" t="s">
        <v>160</v>
      </c>
      <c r="I55" s="9" t="s">
        <v>967</v>
      </c>
    </row>
    <row r="56" customFormat="false" ht="26.25" hidden="false" customHeight="true" outlineLevel="0" collapsed="false">
      <c r="A56" s="5" t="s">
        <v>31</v>
      </c>
      <c r="B56" s="5" t="s">
        <v>395</v>
      </c>
      <c r="C56" s="9" t="s">
        <v>968</v>
      </c>
      <c r="D56" s="8" t="n">
        <v>3</v>
      </c>
      <c r="E56" s="9" t="s">
        <v>167</v>
      </c>
      <c r="F56" s="5" t="s">
        <v>167</v>
      </c>
      <c r="G56" s="9" t="s">
        <v>869</v>
      </c>
      <c r="H56" s="5" t="s">
        <v>160</v>
      </c>
      <c r="I56" s="9" t="s">
        <v>969</v>
      </c>
    </row>
    <row r="57" customFormat="false" ht="14.25" hidden="false" customHeight="true" outlineLevel="0" collapsed="false">
      <c r="A57" s="5" t="s">
        <v>91</v>
      </c>
      <c r="B57" s="5" t="s">
        <v>398</v>
      </c>
      <c r="C57" s="9" t="s">
        <v>970</v>
      </c>
      <c r="D57" s="8" t="n">
        <v>2</v>
      </c>
      <c r="E57" s="9" t="s">
        <v>941</v>
      </c>
      <c r="F57" s="5" t="s">
        <v>173</v>
      </c>
      <c r="G57" s="9" t="s">
        <v>872</v>
      </c>
      <c r="H57" s="5" t="s">
        <v>151</v>
      </c>
      <c r="I57" s="9" t="s">
        <v>914</v>
      </c>
    </row>
    <row r="58" customFormat="false" ht="14.25" hidden="false" customHeight="true" outlineLevel="0" collapsed="false">
      <c r="A58" s="5" t="s">
        <v>87</v>
      </c>
      <c r="B58" s="5" t="s">
        <v>403</v>
      </c>
      <c r="C58" s="9" t="s">
        <v>971</v>
      </c>
      <c r="D58" s="8" t="n">
        <v>2</v>
      </c>
      <c r="E58" s="9" t="s">
        <v>930</v>
      </c>
      <c r="F58" s="5" t="s">
        <v>159</v>
      </c>
      <c r="G58" s="9" t="s">
        <v>896</v>
      </c>
      <c r="H58" s="5" t="s">
        <v>151</v>
      </c>
      <c r="I58" s="9" t="s">
        <v>928</v>
      </c>
    </row>
    <row r="59" customFormat="false" ht="26.25" hidden="false" customHeight="true" outlineLevel="0" collapsed="false">
      <c r="A59" s="5" t="s">
        <v>90</v>
      </c>
      <c r="B59" s="5" t="s">
        <v>407</v>
      </c>
      <c r="C59" s="9" t="s">
        <v>972</v>
      </c>
      <c r="D59" s="8" t="n">
        <v>4</v>
      </c>
      <c r="E59" s="9" t="s">
        <v>930</v>
      </c>
      <c r="F59" s="5" t="s">
        <v>159</v>
      </c>
      <c r="G59" s="9" t="s">
        <v>896</v>
      </c>
      <c r="H59" s="5" t="s">
        <v>151</v>
      </c>
      <c r="I59" s="9" t="s">
        <v>973</v>
      </c>
    </row>
    <row r="60" customFormat="false" ht="14.25" hidden="false" customHeight="true" outlineLevel="0" collapsed="false">
      <c r="A60" s="5" t="s">
        <v>68</v>
      </c>
      <c r="B60" s="5" t="s">
        <v>412</v>
      </c>
      <c r="C60" s="9" t="s">
        <v>974</v>
      </c>
      <c r="D60" s="8" t="n">
        <v>2</v>
      </c>
      <c r="E60" s="9" t="s">
        <v>930</v>
      </c>
      <c r="F60" s="5" t="s">
        <v>159</v>
      </c>
      <c r="G60" s="9" t="s">
        <v>896</v>
      </c>
      <c r="H60" s="5" t="s">
        <v>151</v>
      </c>
      <c r="I60" s="9" t="s">
        <v>928</v>
      </c>
    </row>
    <row r="61" customFormat="false" ht="14.25" hidden="false" customHeight="true" outlineLevel="0" collapsed="false">
      <c r="A61" s="5" t="s">
        <v>88</v>
      </c>
      <c r="B61" s="5" t="s">
        <v>416</v>
      </c>
      <c r="C61" s="9" t="s">
        <v>975</v>
      </c>
      <c r="D61" s="8" t="n">
        <v>2</v>
      </c>
      <c r="E61" s="9" t="s">
        <v>930</v>
      </c>
      <c r="F61" s="5" t="s">
        <v>159</v>
      </c>
      <c r="G61" s="9" t="s">
        <v>896</v>
      </c>
      <c r="H61" s="5" t="s">
        <v>151</v>
      </c>
      <c r="I61" s="9" t="s">
        <v>928</v>
      </c>
    </row>
    <row r="62" customFormat="false" ht="26.25" hidden="false" customHeight="true" outlineLevel="0" collapsed="false">
      <c r="A62" s="5" t="s">
        <v>69</v>
      </c>
      <c r="B62" s="5" t="s">
        <v>420</v>
      </c>
      <c r="C62" s="9" t="s">
        <v>976</v>
      </c>
      <c r="D62" s="8"/>
      <c r="E62" s="9" t="s">
        <v>864</v>
      </c>
      <c r="F62" s="5" t="s">
        <v>150</v>
      </c>
      <c r="G62" s="9" t="s">
        <v>977</v>
      </c>
      <c r="H62" s="5" t="s">
        <v>174</v>
      </c>
      <c r="I62" s="9" t="s">
        <v>978</v>
      </c>
    </row>
    <row r="63" customFormat="false" ht="14.25" hidden="false" customHeight="true" outlineLevel="0" collapsed="false">
      <c r="A63" s="5" t="s">
        <v>79</v>
      </c>
      <c r="B63" s="5" t="s">
        <v>425</v>
      </c>
      <c r="C63" s="9" t="s">
        <v>956</v>
      </c>
      <c r="D63" s="8" t="n">
        <v>1</v>
      </c>
      <c r="E63" s="9" t="s">
        <v>941</v>
      </c>
      <c r="F63" s="5" t="s">
        <v>173</v>
      </c>
      <c r="G63" s="9" t="s">
        <v>174</v>
      </c>
      <c r="H63" s="5" t="s">
        <v>174</v>
      </c>
      <c r="I63" s="9" t="s">
        <v>876</v>
      </c>
    </row>
    <row r="64" customFormat="false" ht="14.25" hidden="false" customHeight="true" outlineLevel="0" collapsed="false">
      <c r="A64" s="5" t="s">
        <v>61</v>
      </c>
      <c r="B64" s="5" t="s">
        <v>429</v>
      </c>
      <c r="C64" s="9" t="s">
        <v>956</v>
      </c>
      <c r="D64" s="8" t="n">
        <v>1</v>
      </c>
      <c r="E64" s="9" t="s">
        <v>941</v>
      </c>
      <c r="F64" s="5" t="s">
        <v>173</v>
      </c>
      <c r="G64" s="9" t="s">
        <v>174</v>
      </c>
      <c r="H64" s="5" t="s">
        <v>174</v>
      </c>
      <c r="I64" s="9" t="s">
        <v>876</v>
      </c>
    </row>
    <row r="65" customFormat="false" ht="14.25" hidden="false" customHeight="true" outlineLevel="0" collapsed="false">
      <c r="A65" s="5" t="s">
        <v>55</v>
      </c>
      <c r="B65" s="5" t="s">
        <v>434</v>
      </c>
      <c r="C65" s="9" t="s">
        <v>979</v>
      </c>
      <c r="D65" s="8" t="n">
        <v>2</v>
      </c>
      <c r="E65" s="9" t="s">
        <v>941</v>
      </c>
      <c r="F65" s="5" t="s">
        <v>173</v>
      </c>
      <c r="G65" s="9" t="s">
        <v>174</v>
      </c>
      <c r="H65" s="5" t="s">
        <v>174</v>
      </c>
      <c r="I65" s="9" t="s">
        <v>876</v>
      </c>
    </row>
    <row r="66" customFormat="false" ht="14.25" hidden="false" customHeight="true" outlineLevel="0" collapsed="false">
      <c r="A66" s="5" t="s">
        <v>73</v>
      </c>
      <c r="B66" s="5" t="s">
        <v>439</v>
      </c>
      <c r="C66" s="9" t="s">
        <v>980</v>
      </c>
      <c r="D66" s="8"/>
      <c r="E66" s="9" t="s">
        <v>930</v>
      </c>
      <c r="F66" s="5" t="s">
        <v>159</v>
      </c>
      <c r="G66" s="9" t="s">
        <v>160</v>
      </c>
      <c r="H66" s="5" t="s">
        <v>160</v>
      </c>
      <c r="I66" s="9" t="s">
        <v>981</v>
      </c>
    </row>
    <row r="67" customFormat="false" ht="26.25" hidden="false" customHeight="true" outlineLevel="0" collapsed="false">
      <c r="A67" s="5" t="s">
        <v>89</v>
      </c>
      <c r="B67" s="5" t="s">
        <v>443</v>
      </c>
      <c r="C67" s="9" t="s">
        <v>944</v>
      </c>
      <c r="D67" s="8" t="n">
        <v>3</v>
      </c>
      <c r="E67" s="9" t="s">
        <v>864</v>
      </c>
      <c r="F67" s="5" t="s">
        <v>150</v>
      </c>
      <c r="G67" s="9" t="s">
        <v>982</v>
      </c>
      <c r="H67" s="5" t="s">
        <v>160</v>
      </c>
      <c r="I67" s="9" t="s">
        <v>983</v>
      </c>
    </row>
    <row r="68" customFormat="false" ht="14.25" hidden="false" customHeight="true" outlineLevel="0" collapsed="false">
      <c r="A68" s="5" t="s">
        <v>107</v>
      </c>
      <c r="B68" s="5" t="s">
        <v>448</v>
      </c>
      <c r="C68" s="9" t="s">
        <v>984</v>
      </c>
      <c r="D68" s="8" t="n">
        <v>3</v>
      </c>
      <c r="E68" s="9" t="s">
        <v>167</v>
      </c>
      <c r="F68" s="5" t="s">
        <v>167</v>
      </c>
      <c r="G68" s="9" t="s">
        <v>872</v>
      </c>
      <c r="H68" s="5" t="s">
        <v>151</v>
      </c>
      <c r="I68" s="9" t="s">
        <v>985</v>
      </c>
    </row>
    <row r="69" customFormat="false" ht="14.25" hidden="false" customHeight="true" outlineLevel="0" collapsed="false">
      <c r="A69" s="5" t="s">
        <v>108</v>
      </c>
      <c r="B69" s="5" t="s">
        <v>453</v>
      </c>
      <c r="C69" s="9" t="s">
        <v>986</v>
      </c>
      <c r="D69" s="8" t="n">
        <v>3</v>
      </c>
      <c r="E69" s="9" t="s">
        <v>167</v>
      </c>
      <c r="F69" s="5" t="s">
        <v>167</v>
      </c>
      <c r="G69" s="9" t="s">
        <v>872</v>
      </c>
      <c r="H69" s="5" t="s">
        <v>151</v>
      </c>
      <c r="I69" s="9" t="s">
        <v>914</v>
      </c>
    </row>
    <row r="70" customFormat="false" ht="14.25" hidden="false" customHeight="true" outlineLevel="0" collapsed="false">
      <c r="A70" s="5" t="s">
        <v>106</v>
      </c>
      <c r="B70" s="5" t="s">
        <v>458</v>
      </c>
      <c r="C70" s="9" t="s">
        <v>987</v>
      </c>
      <c r="D70" s="8" t="n">
        <v>3</v>
      </c>
      <c r="E70" s="9" t="s">
        <v>167</v>
      </c>
      <c r="F70" s="5" t="s">
        <v>167</v>
      </c>
      <c r="G70" s="9" t="s">
        <v>872</v>
      </c>
      <c r="H70" s="5" t="s">
        <v>151</v>
      </c>
      <c r="I70" s="9" t="s">
        <v>914</v>
      </c>
    </row>
    <row r="71" customFormat="false" ht="14.25" hidden="false" customHeight="true" outlineLevel="0" collapsed="false">
      <c r="A71" s="5" t="s">
        <v>97</v>
      </c>
      <c r="B71" s="5" t="s">
        <v>462</v>
      </c>
      <c r="C71" s="9" t="s">
        <v>988</v>
      </c>
      <c r="D71" s="8" t="n">
        <v>4</v>
      </c>
      <c r="E71" s="9" t="s">
        <v>941</v>
      </c>
      <c r="F71" s="5" t="s">
        <v>173</v>
      </c>
      <c r="G71" s="9" t="s">
        <v>872</v>
      </c>
      <c r="H71" s="5" t="s">
        <v>151</v>
      </c>
      <c r="I71" s="9" t="s">
        <v>989</v>
      </c>
    </row>
    <row r="72" customFormat="false" ht="26.25" hidden="false" customHeight="true" outlineLevel="0" collapsed="false">
      <c r="A72" s="5" t="s">
        <v>104</v>
      </c>
      <c r="B72" s="5" t="s">
        <v>465</v>
      </c>
      <c r="C72" s="9" t="s">
        <v>990</v>
      </c>
      <c r="D72" s="8" t="n">
        <v>2</v>
      </c>
      <c r="E72" s="9" t="s">
        <v>941</v>
      </c>
      <c r="F72" s="5" t="s">
        <v>173</v>
      </c>
      <c r="G72" s="9" t="s">
        <v>872</v>
      </c>
      <c r="H72" s="5" t="s">
        <v>151</v>
      </c>
      <c r="I72" s="9" t="s">
        <v>991</v>
      </c>
    </row>
    <row r="73" customFormat="false" ht="26.25" hidden="false" customHeight="true" outlineLevel="0" collapsed="false">
      <c r="A73" s="5" t="s">
        <v>57</v>
      </c>
      <c r="B73" s="5" t="s">
        <v>468</v>
      </c>
      <c r="C73" s="9" t="s">
        <v>992</v>
      </c>
      <c r="D73" s="8" t="n">
        <v>2</v>
      </c>
      <c r="E73" s="9" t="s">
        <v>864</v>
      </c>
      <c r="F73" s="5" t="s">
        <v>150</v>
      </c>
      <c r="G73" s="9" t="s">
        <v>872</v>
      </c>
      <c r="H73" s="5" t="s">
        <v>151</v>
      </c>
      <c r="I73" s="9" t="s">
        <v>993</v>
      </c>
    </row>
    <row r="74" customFormat="false" ht="14.25" hidden="false" customHeight="true" outlineLevel="0" collapsed="false">
      <c r="A74" s="5" t="s">
        <v>103</v>
      </c>
      <c r="B74" s="5" t="s">
        <v>473</v>
      </c>
      <c r="C74" s="9" t="s">
        <v>994</v>
      </c>
      <c r="D74" s="8"/>
      <c r="E74" s="9" t="s">
        <v>941</v>
      </c>
      <c r="F74" s="5" t="s">
        <v>173</v>
      </c>
      <c r="G74" s="9" t="s">
        <v>872</v>
      </c>
      <c r="H74" s="5" t="s">
        <v>151</v>
      </c>
      <c r="I74" s="9" t="s">
        <v>985</v>
      </c>
    </row>
    <row r="75" customFormat="false" ht="26.25" hidden="false" customHeight="true" outlineLevel="0" collapsed="false">
      <c r="A75" s="5" t="s">
        <v>46</v>
      </c>
      <c r="B75" s="5" t="s">
        <v>477</v>
      </c>
      <c r="C75" s="9" t="s">
        <v>995</v>
      </c>
      <c r="D75" s="8" t="n">
        <v>3</v>
      </c>
      <c r="E75" s="9" t="s">
        <v>167</v>
      </c>
      <c r="F75" s="5" t="s">
        <v>167</v>
      </c>
      <c r="G75" s="9" t="s">
        <v>996</v>
      </c>
      <c r="H75" s="5" t="s">
        <v>160</v>
      </c>
      <c r="I75" s="9" t="s">
        <v>997</v>
      </c>
    </row>
    <row r="76" customFormat="false" ht="26.25" hidden="false" customHeight="true" outlineLevel="0" collapsed="false">
      <c r="A76" s="5" t="s">
        <v>38</v>
      </c>
      <c r="B76" s="5" t="s">
        <v>482</v>
      </c>
      <c r="C76" s="9" t="s">
        <v>998</v>
      </c>
      <c r="D76" s="8" t="n">
        <v>4</v>
      </c>
      <c r="E76" s="9" t="s">
        <v>167</v>
      </c>
      <c r="F76" s="5" t="s">
        <v>167</v>
      </c>
      <c r="G76" s="9" t="s">
        <v>869</v>
      </c>
      <c r="H76" s="5" t="s">
        <v>160</v>
      </c>
      <c r="I76" s="9" t="s">
        <v>999</v>
      </c>
    </row>
    <row r="77" customFormat="false" ht="14.25" hidden="false" customHeight="true" outlineLevel="0" collapsed="false">
      <c r="A77" s="5" t="s">
        <v>26</v>
      </c>
      <c r="B77" s="5" t="s">
        <v>487</v>
      </c>
      <c r="C77" s="9" t="s">
        <v>1000</v>
      </c>
      <c r="D77" s="8" t="n">
        <v>3</v>
      </c>
      <c r="E77" s="9" t="s">
        <v>167</v>
      </c>
      <c r="F77" s="5" t="s">
        <v>167</v>
      </c>
      <c r="G77" s="9" t="s">
        <v>160</v>
      </c>
      <c r="H77" s="5" t="s">
        <v>160</v>
      </c>
      <c r="I77" s="9" t="s">
        <v>1001</v>
      </c>
    </row>
    <row r="78" customFormat="false" ht="14.25" hidden="false" customHeight="true" outlineLevel="0" collapsed="false">
      <c r="A78" s="5" t="s">
        <v>58</v>
      </c>
      <c r="B78" s="5" t="s">
        <v>490</v>
      </c>
      <c r="C78" s="9" t="s">
        <v>1002</v>
      </c>
      <c r="D78" s="8" t="n">
        <v>2</v>
      </c>
      <c r="E78" s="9" t="s">
        <v>167</v>
      </c>
      <c r="F78" s="5" t="s">
        <v>167</v>
      </c>
      <c r="G78" s="9" t="s">
        <v>869</v>
      </c>
      <c r="H78" s="5" t="s">
        <v>160</v>
      </c>
      <c r="I78" s="9" t="s">
        <v>887</v>
      </c>
    </row>
    <row r="79" customFormat="false" ht="26.25" hidden="false" customHeight="true" outlineLevel="0" collapsed="false">
      <c r="A79" s="5" t="s">
        <v>102</v>
      </c>
      <c r="B79" s="5" t="s">
        <v>495</v>
      </c>
      <c r="C79" s="9" t="s">
        <v>1003</v>
      </c>
      <c r="D79" s="8"/>
      <c r="E79" s="9" t="s">
        <v>1004</v>
      </c>
      <c r="F79" s="5"/>
      <c r="G79" s="9" t="s">
        <v>1005</v>
      </c>
      <c r="H79" s="5" t="s">
        <v>754</v>
      </c>
      <c r="I79" s="9" t="s">
        <v>1006</v>
      </c>
    </row>
    <row r="80" customFormat="false" ht="14.25" hidden="false" customHeight="true" outlineLevel="0" collapsed="false">
      <c r="A80" s="5" t="s">
        <v>99</v>
      </c>
      <c r="B80" s="5" t="s">
        <v>500</v>
      </c>
      <c r="C80" s="9" t="s">
        <v>958</v>
      </c>
      <c r="D80" s="8" t="n">
        <v>2</v>
      </c>
      <c r="E80" s="9" t="s">
        <v>941</v>
      </c>
      <c r="F80" s="5" t="s">
        <v>173</v>
      </c>
      <c r="G80" s="9" t="s">
        <v>174</v>
      </c>
      <c r="H80" s="5" t="s">
        <v>174</v>
      </c>
      <c r="I80" s="9" t="s">
        <v>876</v>
      </c>
    </row>
    <row r="81" customFormat="false" ht="39" hidden="false" customHeight="true" outlineLevel="0" collapsed="false">
      <c r="A81" s="5" t="s">
        <v>92</v>
      </c>
      <c r="B81" s="5" t="s">
        <v>505</v>
      </c>
      <c r="C81" s="9" t="s">
        <v>1007</v>
      </c>
      <c r="D81" s="8" t="n">
        <v>2</v>
      </c>
      <c r="E81" s="9" t="s">
        <v>1008</v>
      </c>
      <c r="F81" s="5" t="s">
        <v>167</v>
      </c>
      <c r="G81" s="9" t="s">
        <v>996</v>
      </c>
      <c r="H81" s="5" t="s">
        <v>160</v>
      </c>
      <c r="I81" s="9" t="s">
        <v>1009</v>
      </c>
    </row>
    <row r="82" customFormat="false" ht="14.25" hidden="false" customHeight="true" outlineLevel="0" collapsed="false">
      <c r="A82" s="5" t="s">
        <v>65</v>
      </c>
      <c r="B82" s="5" t="s">
        <v>510</v>
      </c>
      <c r="C82" s="9" t="s">
        <v>949</v>
      </c>
      <c r="D82" s="8" t="n">
        <v>2</v>
      </c>
      <c r="E82" s="9" t="s">
        <v>941</v>
      </c>
      <c r="F82" s="5" t="s">
        <v>173</v>
      </c>
      <c r="G82" s="9" t="s">
        <v>174</v>
      </c>
      <c r="H82" s="5" t="s">
        <v>174</v>
      </c>
      <c r="I82" s="9" t="s">
        <v>914</v>
      </c>
    </row>
    <row r="83" customFormat="false" ht="39" hidden="false" customHeight="true" outlineLevel="0" collapsed="false">
      <c r="A83" s="5" t="s">
        <v>98</v>
      </c>
      <c r="B83" s="5" t="s">
        <v>514</v>
      </c>
      <c r="C83" s="9" t="s">
        <v>1010</v>
      </c>
      <c r="D83" s="8" t="n">
        <v>1</v>
      </c>
      <c r="E83" s="9" t="s">
        <v>1011</v>
      </c>
      <c r="F83" s="5" t="s">
        <v>173</v>
      </c>
      <c r="G83" s="9" t="s">
        <v>174</v>
      </c>
      <c r="H83" s="5" t="s">
        <v>174</v>
      </c>
      <c r="I83" s="9" t="s">
        <v>1012</v>
      </c>
    </row>
    <row r="84" customFormat="false" ht="39" hidden="false" customHeight="true" outlineLevel="0" collapsed="false">
      <c r="A84" s="5" t="s">
        <v>109</v>
      </c>
      <c r="B84" s="5" t="s">
        <v>519</v>
      </c>
      <c r="C84" s="9" t="s">
        <v>1013</v>
      </c>
      <c r="D84" s="8" t="n">
        <v>1</v>
      </c>
      <c r="E84" s="9" t="s">
        <v>1014</v>
      </c>
      <c r="F84" s="5" t="s">
        <v>159</v>
      </c>
      <c r="G84" s="9" t="s">
        <v>1015</v>
      </c>
      <c r="H84" s="5" t="s">
        <v>754</v>
      </c>
      <c r="I84" s="9" t="s">
        <v>1016</v>
      </c>
    </row>
    <row r="85" customFormat="false" ht="26.25" hidden="false" customHeight="true" outlineLevel="0" collapsed="false">
      <c r="A85" s="5" t="s">
        <v>40</v>
      </c>
      <c r="B85" s="5" t="s">
        <v>525</v>
      </c>
      <c r="C85" s="9" t="s">
        <v>1017</v>
      </c>
      <c r="D85" s="8" t="n">
        <v>4</v>
      </c>
      <c r="E85" s="9" t="s">
        <v>864</v>
      </c>
      <c r="F85" s="5" t="s">
        <v>150</v>
      </c>
      <c r="G85" s="9" t="s">
        <v>1018</v>
      </c>
      <c r="H85" s="5" t="s">
        <v>160</v>
      </c>
      <c r="I85" s="9" t="s">
        <v>1019</v>
      </c>
    </row>
    <row r="86" customFormat="false" ht="26.25" hidden="false" customHeight="true" outlineLevel="0" collapsed="false">
      <c r="A86" s="5" t="s">
        <v>95</v>
      </c>
      <c r="B86" s="5" t="s">
        <v>529</v>
      </c>
      <c r="C86" s="9" t="s">
        <v>1020</v>
      </c>
      <c r="D86" s="8" t="n">
        <v>3</v>
      </c>
      <c r="E86" s="9" t="s">
        <v>864</v>
      </c>
      <c r="F86" s="5" t="s">
        <v>150</v>
      </c>
      <c r="G86" s="9" t="s">
        <v>1021</v>
      </c>
      <c r="H86" s="5" t="s">
        <v>160</v>
      </c>
      <c r="I86" s="9" t="s">
        <v>1022</v>
      </c>
    </row>
    <row r="87" customFormat="false" ht="14.25" hidden="false" customHeight="true" outlineLevel="0" collapsed="false">
      <c r="A87" s="5" t="s">
        <v>81</v>
      </c>
      <c r="B87" s="5" t="s">
        <v>534</v>
      </c>
      <c r="C87" s="9" t="s">
        <v>1023</v>
      </c>
      <c r="D87" s="8" t="n">
        <v>2</v>
      </c>
      <c r="E87" s="9" t="s">
        <v>1024</v>
      </c>
      <c r="F87" s="5" t="s">
        <v>150</v>
      </c>
      <c r="G87" s="9" t="s">
        <v>160</v>
      </c>
      <c r="H87" s="5" t="s">
        <v>160</v>
      </c>
      <c r="I87" s="9" t="s">
        <v>1025</v>
      </c>
    </row>
    <row r="88" customFormat="false" ht="14.25" hidden="false" customHeight="true" outlineLevel="0" collapsed="false">
      <c r="A88" s="5" t="s">
        <v>100</v>
      </c>
      <c r="B88" s="5" t="s">
        <v>538</v>
      </c>
      <c r="C88" s="9" t="s">
        <v>1026</v>
      </c>
      <c r="D88" s="8" t="n">
        <v>2</v>
      </c>
      <c r="E88" s="9" t="s">
        <v>941</v>
      </c>
      <c r="F88" s="5" t="s">
        <v>173</v>
      </c>
      <c r="G88" s="9" t="s">
        <v>174</v>
      </c>
      <c r="H88" s="5" t="s">
        <v>174</v>
      </c>
      <c r="I88" s="9" t="s">
        <v>876</v>
      </c>
    </row>
    <row r="89" customFormat="false" ht="26.25" hidden="false" customHeight="true" outlineLevel="0" collapsed="false">
      <c r="A89" s="5" t="s">
        <v>111</v>
      </c>
      <c r="B89" s="5" t="s">
        <v>542</v>
      </c>
      <c r="C89" s="9" t="s">
        <v>944</v>
      </c>
      <c r="D89" s="8" t="n">
        <v>3</v>
      </c>
      <c r="E89" s="9" t="s">
        <v>930</v>
      </c>
      <c r="F89" s="5" t="s">
        <v>159</v>
      </c>
      <c r="G89" s="9" t="s">
        <v>931</v>
      </c>
      <c r="H89" s="5" t="s">
        <v>151</v>
      </c>
      <c r="I89" s="9" t="s">
        <v>1027</v>
      </c>
    </row>
    <row r="90" customFormat="false" ht="26.25" hidden="false" customHeight="true" outlineLevel="0" collapsed="false">
      <c r="A90" s="5" t="s">
        <v>101</v>
      </c>
      <c r="B90" s="5" t="s">
        <v>547</v>
      </c>
      <c r="C90" s="9" t="s">
        <v>1028</v>
      </c>
      <c r="D90" s="8"/>
      <c r="E90" s="9" t="s">
        <v>167</v>
      </c>
      <c r="F90" s="5" t="s">
        <v>167</v>
      </c>
      <c r="G90" s="9" t="s">
        <v>1029</v>
      </c>
      <c r="H90" s="5" t="s">
        <v>174</v>
      </c>
      <c r="I90" s="9" t="s">
        <v>887</v>
      </c>
    </row>
    <row r="91" customFormat="false" ht="26.25" hidden="false" customHeight="true" outlineLevel="0" collapsed="false">
      <c r="A91" s="5" t="s">
        <v>93</v>
      </c>
      <c r="B91" s="5" t="s">
        <v>552</v>
      </c>
      <c r="C91" s="9" t="s">
        <v>1030</v>
      </c>
      <c r="D91" s="8" t="n">
        <v>3</v>
      </c>
      <c r="E91" s="9" t="s">
        <v>930</v>
      </c>
      <c r="F91" s="5" t="s">
        <v>159</v>
      </c>
      <c r="G91" s="9" t="s">
        <v>896</v>
      </c>
      <c r="H91" s="5" t="s">
        <v>151</v>
      </c>
      <c r="I91" s="9" t="s">
        <v>928</v>
      </c>
    </row>
    <row r="92" customFormat="false" ht="14.25" hidden="false" customHeight="true" outlineLevel="0" collapsed="false">
      <c r="A92" s="5" t="s">
        <v>105</v>
      </c>
      <c r="B92" s="5" t="s">
        <v>556</v>
      </c>
      <c r="C92" s="9"/>
      <c r="D92" s="8"/>
      <c r="E92" s="9"/>
      <c r="F92" s="5"/>
      <c r="G92" s="9"/>
      <c r="H92" s="5"/>
      <c r="I92" s="9"/>
    </row>
    <row r="93" customFormat="false" ht="14.25" hidden="false" customHeight="true" outlineLevel="0" collapsed="false">
      <c r="A93" s="5" t="s">
        <v>110</v>
      </c>
      <c r="B93" s="5" t="s">
        <v>560</v>
      </c>
      <c r="C93" s="9"/>
      <c r="D93" s="8"/>
      <c r="E93" s="9"/>
      <c r="F93" s="5"/>
      <c r="G93" s="9"/>
      <c r="H93" s="5"/>
      <c r="I93" s="9"/>
    </row>
    <row r="94" customFormat="false" ht="14.25" hidden="false" customHeight="true" outlineLevel="0" collapsed="false">
      <c r="A94" s="5" t="s">
        <v>94</v>
      </c>
      <c r="B94" s="5" t="s">
        <v>564</v>
      </c>
      <c r="C94" s="9"/>
      <c r="D94" s="8"/>
      <c r="E94" s="9"/>
      <c r="F94" s="5"/>
      <c r="G94" s="9"/>
      <c r="H94" s="5"/>
      <c r="I94" s="9"/>
    </row>
    <row r="95" customFormat="false" ht="14.25" hidden="false" customHeight="true" outlineLevel="0" collapsed="false">
      <c r="A95" s="5" t="s">
        <v>96</v>
      </c>
      <c r="B95" s="5" t="s">
        <v>567</v>
      </c>
      <c r="C95" s="9"/>
      <c r="D95" s="8"/>
      <c r="E95" s="9"/>
      <c r="F95" s="5"/>
      <c r="G95" s="9"/>
      <c r="H95" s="5"/>
      <c r="I95" s="9"/>
    </row>
  </sheetData>
  <autoFilter ref="A1:I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22"/>
    <col collapsed="false" customWidth="true" hidden="false" outlineLevel="0" max="4" min="4" style="0" width="24"/>
    <col collapsed="false" customWidth="true" hidden="false" outlineLevel="0" max="5" min="5" style="0" width="20"/>
    <col collapsed="false" customWidth="true" hidden="false" outlineLevel="0" max="7" min="6" style="0" width="26"/>
    <col collapsed="false" customWidth="true" hidden="false" outlineLevel="0" max="8" min="8" style="0" width="70"/>
    <col collapsed="false" customWidth="true" hidden="false" outlineLevel="0" max="9" min="9" style="0" width="36"/>
  </cols>
  <sheetData>
    <row r="1" customFormat="false" ht="42" hidden="false" customHeight="true" outlineLevel="0" collapsed="false">
      <c r="A1" s="1" t="s">
        <v>1031</v>
      </c>
      <c r="B1" s="1" t="s">
        <v>1032</v>
      </c>
      <c r="C1" s="1" t="s">
        <v>1033</v>
      </c>
      <c r="D1" s="1" t="s">
        <v>0</v>
      </c>
      <c r="E1" s="1" t="s">
        <v>1034</v>
      </c>
      <c r="F1" s="1" t="s">
        <v>1035</v>
      </c>
      <c r="G1" s="1" t="s">
        <v>1036</v>
      </c>
      <c r="H1" s="1" t="s">
        <v>1037</v>
      </c>
      <c r="I1" s="1" t="s">
        <v>574</v>
      </c>
    </row>
    <row r="2" customFormat="false" ht="26.25" hidden="false" customHeight="true" outlineLevel="0" collapsed="false">
      <c r="A2" s="5" t="s">
        <v>1038</v>
      </c>
      <c r="B2" s="5" t="s">
        <v>1039</v>
      </c>
      <c r="C2" s="5" t="s">
        <v>1040</v>
      </c>
      <c r="D2" s="5" t="s">
        <v>20</v>
      </c>
      <c r="E2" s="5" t="s">
        <v>570</v>
      </c>
      <c r="F2" s="9" t="n">
        <v>0.03</v>
      </c>
      <c r="G2" s="9" t="n">
        <v>0.025</v>
      </c>
      <c r="H2" s="9" t="s">
        <v>1041</v>
      </c>
      <c r="I2" s="9" t="s">
        <v>1042</v>
      </c>
    </row>
    <row r="3" customFormat="false" ht="26.25" hidden="false" customHeight="true" outlineLevel="0" collapsed="false">
      <c r="A3" s="5" t="s">
        <v>1038</v>
      </c>
      <c r="B3" s="5" t="s">
        <v>1039</v>
      </c>
      <c r="C3" s="5" t="s">
        <v>1043</v>
      </c>
      <c r="D3" s="5" t="s">
        <v>57</v>
      </c>
      <c r="E3" s="5" t="s">
        <v>1044</v>
      </c>
      <c r="F3" s="9" t="n">
        <v>1350</v>
      </c>
      <c r="G3" s="9" t="n">
        <v>600</v>
      </c>
      <c r="H3" s="9" t="s">
        <v>1045</v>
      </c>
      <c r="I3" s="9" t="s">
        <v>658</v>
      </c>
    </row>
    <row r="4" customFormat="false" ht="26.25" hidden="false" customHeight="true" outlineLevel="0" collapsed="false">
      <c r="A4" s="5" t="s">
        <v>1038</v>
      </c>
      <c r="B4" s="5" t="s">
        <v>1039</v>
      </c>
      <c r="C4" s="5" t="s">
        <v>1046</v>
      </c>
      <c r="D4" s="5" t="s">
        <v>100</v>
      </c>
      <c r="E4" s="5" t="s">
        <v>1047</v>
      </c>
      <c r="F4" s="9" t="s">
        <v>1048</v>
      </c>
      <c r="G4" s="9" t="s">
        <v>1049</v>
      </c>
      <c r="H4" s="9" t="s">
        <v>1050</v>
      </c>
      <c r="I4" s="9" t="s">
        <v>1051</v>
      </c>
    </row>
    <row r="5" customFormat="false" ht="26.25" hidden="false" customHeight="true" outlineLevel="0" collapsed="false">
      <c r="A5" s="5" t="s">
        <v>1038</v>
      </c>
      <c r="B5" s="5" t="s">
        <v>1039</v>
      </c>
      <c r="C5" s="5" t="s">
        <v>1052</v>
      </c>
      <c r="D5" s="5" t="s">
        <v>57</v>
      </c>
      <c r="E5" s="5" t="s">
        <v>570</v>
      </c>
      <c r="F5" s="9" t="s">
        <v>1053</v>
      </c>
      <c r="G5" s="9" t="s">
        <v>1054</v>
      </c>
      <c r="H5" s="9" t="s">
        <v>1055</v>
      </c>
      <c r="I5" s="9" t="s">
        <v>1056</v>
      </c>
    </row>
    <row r="6" customFormat="false" ht="14.25" hidden="false" customHeight="true" outlineLevel="0" collapsed="false">
      <c r="A6" s="5" t="s">
        <v>1038</v>
      </c>
      <c r="B6" s="5" t="s">
        <v>1039</v>
      </c>
      <c r="C6" s="5" t="s">
        <v>1052</v>
      </c>
      <c r="D6" s="5" t="s">
        <v>106</v>
      </c>
      <c r="E6" s="5" t="s">
        <v>570</v>
      </c>
      <c r="F6" s="9" t="s">
        <v>1057</v>
      </c>
      <c r="G6" s="9" t="s">
        <v>1058</v>
      </c>
      <c r="H6" s="9" t="s">
        <v>1059</v>
      </c>
      <c r="I6" s="9" t="s">
        <v>1060</v>
      </c>
    </row>
    <row r="7" customFormat="false" ht="26.25" hidden="false" customHeight="true" outlineLevel="0" collapsed="false">
      <c r="A7" s="5" t="s">
        <v>1038</v>
      </c>
      <c r="B7" s="5" t="s">
        <v>1039</v>
      </c>
      <c r="C7" s="5" t="s">
        <v>1061</v>
      </c>
      <c r="D7" s="5" t="s">
        <v>95</v>
      </c>
      <c r="E7" s="5" t="s">
        <v>839</v>
      </c>
      <c r="F7" s="9" t="s">
        <v>1062</v>
      </c>
      <c r="G7" s="9" t="s">
        <v>1063</v>
      </c>
      <c r="H7" s="9" t="s">
        <v>1064</v>
      </c>
      <c r="I7" s="9" t="s">
        <v>1065</v>
      </c>
    </row>
    <row r="8" customFormat="false" ht="26.25" hidden="false" customHeight="true" outlineLevel="0" collapsed="false">
      <c r="A8" s="5" t="s">
        <v>1038</v>
      </c>
      <c r="B8" s="5" t="s">
        <v>1039</v>
      </c>
      <c r="C8" s="5" t="s">
        <v>1066</v>
      </c>
      <c r="D8" s="5" t="s">
        <v>23</v>
      </c>
      <c r="E8" s="5" t="s">
        <v>570</v>
      </c>
      <c r="F8" s="9" t="n">
        <v>0.02</v>
      </c>
      <c r="G8" s="9" t="s">
        <v>1067</v>
      </c>
      <c r="H8" s="9" t="s">
        <v>1068</v>
      </c>
      <c r="I8" s="9" t="s">
        <v>1069</v>
      </c>
    </row>
    <row r="9" customFormat="false" ht="26.25" hidden="false" customHeight="true" outlineLevel="0" collapsed="false">
      <c r="A9" s="5" t="s">
        <v>1038</v>
      </c>
      <c r="B9" s="5" t="s">
        <v>1039</v>
      </c>
      <c r="C9" s="5" t="s">
        <v>1066</v>
      </c>
      <c r="D9" s="5" t="s">
        <v>24</v>
      </c>
      <c r="E9" s="5" t="s">
        <v>570</v>
      </c>
      <c r="F9" s="9" t="n">
        <v>0.05</v>
      </c>
      <c r="G9" s="9" t="s">
        <v>1070</v>
      </c>
      <c r="H9" s="9" t="s">
        <v>1071</v>
      </c>
      <c r="I9" s="9" t="s">
        <v>1069</v>
      </c>
    </row>
    <row r="10" customFormat="false" ht="26.25" hidden="false" customHeight="true" outlineLevel="0" collapsed="false">
      <c r="A10" s="5" t="s">
        <v>1038</v>
      </c>
      <c r="B10" s="5" t="s">
        <v>1039</v>
      </c>
      <c r="C10" s="5" t="s">
        <v>1066</v>
      </c>
      <c r="D10" s="5" t="s">
        <v>43</v>
      </c>
      <c r="E10" s="5" t="s">
        <v>570</v>
      </c>
      <c r="F10" s="9" t="n">
        <v>1.2</v>
      </c>
      <c r="G10" s="9" t="s">
        <v>1072</v>
      </c>
      <c r="H10" s="9" t="s">
        <v>1073</v>
      </c>
      <c r="I10" s="9" t="s">
        <v>1069</v>
      </c>
    </row>
    <row r="11" customFormat="false" ht="26.25" hidden="false" customHeight="true" outlineLevel="0" collapsed="false">
      <c r="A11" s="5" t="s">
        <v>1038</v>
      </c>
      <c r="B11" s="5" t="s">
        <v>1039</v>
      </c>
      <c r="C11" s="5" t="s">
        <v>1066</v>
      </c>
      <c r="D11" s="5" t="s">
        <v>44</v>
      </c>
      <c r="E11" s="5" t="s">
        <v>570</v>
      </c>
      <c r="F11" s="9" t="n">
        <v>0.9</v>
      </c>
      <c r="G11" s="9" t="s">
        <v>1074</v>
      </c>
      <c r="H11" s="9" t="s">
        <v>1075</v>
      </c>
      <c r="I11" s="9" t="s">
        <v>1069</v>
      </c>
    </row>
    <row r="12" customFormat="false" ht="26.25" hidden="false" customHeight="true" outlineLevel="0" collapsed="false">
      <c r="A12" s="5" t="s">
        <v>1038</v>
      </c>
      <c r="B12" s="5" t="s">
        <v>1039</v>
      </c>
      <c r="C12" s="5" t="s">
        <v>1066</v>
      </c>
      <c r="D12" s="5" t="s">
        <v>42</v>
      </c>
      <c r="E12" s="5" t="s">
        <v>570</v>
      </c>
      <c r="F12" s="9" t="n">
        <v>0.45</v>
      </c>
      <c r="G12" s="9" t="s">
        <v>1076</v>
      </c>
      <c r="H12" s="9" t="s">
        <v>1077</v>
      </c>
      <c r="I12" s="9" t="s">
        <v>1069</v>
      </c>
    </row>
    <row r="13" customFormat="false" ht="26.25" hidden="false" customHeight="true" outlineLevel="0" collapsed="false">
      <c r="A13" s="5" t="s">
        <v>1038</v>
      </c>
      <c r="B13" s="5" t="s">
        <v>1039</v>
      </c>
      <c r="C13" s="5" t="s">
        <v>1040</v>
      </c>
      <c r="D13" s="5" t="s">
        <v>41</v>
      </c>
      <c r="E13" s="5" t="s">
        <v>570</v>
      </c>
      <c r="F13" s="9" t="n">
        <v>0.6</v>
      </c>
      <c r="G13" s="9" t="n">
        <v>0.4</v>
      </c>
      <c r="H13" s="9" t="s">
        <v>1078</v>
      </c>
      <c r="I13" s="9" t="s">
        <v>1069</v>
      </c>
    </row>
    <row r="14" customFormat="false" ht="26.25" hidden="false" customHeight="true" outlineLevel="0" collapsed="false">
      <c r="A14" s="5" t="s">
        <v>1038</v>
      </c>
      <c r="B14" s="5" t="s">
        <v>1039</v>
      </c>
      <c r="C14" s="5" t="s">
        <v>1040</v>
      </c>
      <c r="D14" s="5" t="s">
        <v>83</v>
      </c>
      <c r="E14" s="5" t="s">
        <v>570</v>
      </c>
      <c r="F14" s="9" t="n">
        <v>0.5</v>
      </c>
      <c r="G14" s="9" t="n">
        <v>2.52</v>
      </c>
      <c r="H14" s="9" t="s">
        <v>1079</v>
      </c>
      <c r="I14" s="9" t="s">
        <v>1069</v>
      </c>
    </row>
    <row r="15" customFormat="false" ht="26.25" hidden="false" customHeight="true" outlineLevel="0" collapsed="false">
      <c r="A15" s="5" t="s">
        <v>1038</v>
      </c>
      <c r="B15" s="5" t="s">
        <v>1039</v>
      </c>
      <c r="C15" s="5" t="s">
        <v>1040</v>
      </c>
      <c r="D15" s="5" t="s">
        <v>91</v>
      </c>
      <c r="E15" s="5" t="s">
        <v>570</v>
      </c>
      <c r="F15" s="9" t="n">
        <v>2</v>
      </c>
      <c r="G15" s="9" t="n">
        <v>0.56</v>
      </c>
      <c r="H15" s="9" t="s">
        <v>1080</v>
      </c>
      <c r="I15" s="9" t="s">
        <v>1069</v>
      </c>
    </row>
    <row r="16" customFormat="false" ht="26.25" hidden="false" customHeight="true" outlineLevel="0" collapsed="false">
      <c r="A16" s="5" t="s">
        <v>1038</v>
      </c>
      <c r="B16" s="5" t="s">
        <v>1039</v>
      </c>
      <c r="C16" s="5" t="s">
        <v>1081</v>
      </c>
      <c r="D16" s="5" t="s">
        <v>105</v>
      </c>
      <c r="E16" s="5" t="s">
        <v>1047</v>
      </c>
      <c r="F16" s="9" t="s">
        <v>1082</v>
      </c>
      <c r="G16" s="9" t="s">
        <v>1083</v>
      </c>
      <c r="H16" s="9" t="s">
        <v>1084</v>
      </c>
      <c r="I16" s="9" t="s">
        <v>1069</v>
      </c>
    </row>
    <row r="17" customFormat="false" ht="26.25" hidden="false" customHeight="true" outlineLevel="0" collapsed="false">
      <c r="A17" s="5" t="s">
        <v>1038</v>
      </c>
      <c r="B17" s="5" t="s">
        <v>1039</v>
      </c>
      <c r="C17" s="5" t="s">
        <v>1081</v>
      </c>
      <c r="D17" s="5" t="s">
        <v>110</v>
      </c>
      <c r="E17" s="5" t="s">
        <v>1047</v>
      </c>
      <c r="F17" s="9" t="s">
        <v>1082</v>
      </c>
      <c r="G17" s="9" t="s">
        <v>1085</v>
      </c>
      <c r="H17" s="9" t="s">
        <v>1084</v>
      </c>
      <c r="I17" s="9" t="s">
        <v>1069</v>
      </c>
    </row>
    <row r="18" customFormat="false" ht="26.25" hidden="false" customHeight="true" outlineLevel="0" collapsed="false">
      <c r="A18" s="5" t="s">
        <v>1038</v>
      </c>
      <c r="B18" s="5" t="s">
        <v>1039</v>
      </c>
      <c r="C18" s="5" t="s">
        <v>1081</v>
      </c>
      <c r="D18" s="5" t="s">
        <v>94</v>
      </c>
      <c r="E18" s="5" t="s">
        <v>1047</v>
      </c>
      <c r="F18" s="9" t="s">
        <v>1082</v>
      </c>
      <c r="G18" s="9" t="s">
        <v>1086</v>
      </c>
      <c r="H18" s="9" t="s">
        <v>1084</v>
      </c>
      <c r="I18" s="9" t="s">
        <v>1069</v>
      </c>
    </row>
    <row r="19" customFormat="false" ht="26.25" hidden="false" customHeight="true" outlineLevel="0" collapsed="false">
      <c r="A19" s="5" t="s">
        <v>1038</v>
      </c>
      <c r="B19" s="5" t="s">
        <v>1039</v>
      </c>
      <c r="C19" s="5" t="s">
        <v>1081</v>
      </c>
      <c r="D19" s="5" t="s">
        <v>96</v>
      </c>
      <c r="E19" s="5" t="s">
        <v>1047</v>
      </c>
      <c r="F19" s="9" t="s">
        <v>1082</v>
      </c>
      <c r="G19" s="9" t="s">
        <v>1087</v>
      </c>
      <c r="H19" s="9" t="s">
        <v>1084</v>
      </c>
      <c r="I19" s="9" t="s">
        <v>1069</v>
      </c>
    </row>
    <row r="20" customFormat="false" ht="39" hidden="false" customHeight="true" outlineLevel="0" collapsed="false">
      <c r="A20" s="5" t="s">
        <v>1038</v>
      </c>
      <c r="B20" s="5" t="s">
        <v>1039</v>
      </c>
      <c r="C20" s="5" t="s">
        <v>1088</v>
      </c>
      <c r="D20" s="5" t="s">
        <v>57</v>
      </c>
      <c r="E20" s="5" t="s">
        <v>570</v>
      </c>
      <c r="F20" s="9" t="s">
        <v>1089</v>
      </c>
      <c r="G20" s="9" t="s">
        <v>1090</v>
      </c>
      <c r="H20" s="9" t="s">
        <v>1091</v>
      </c>
      <c r="I20" s="9" t="s">
        <v>1069</v>
      </c>
    </row>
    <row r="21" customFormat="false" ht="39" hidden="false" customHeight="true" outlineLevel="0" collapsed="false">
      <c r="A21" s="5" t="s">
        <v>1038</v>
      </c>
      <c r="B21" s="5" t="s">
        <v>1039</v>
      </c>
      <c r="C21" s="5" t="s">
        <v>1088</v>
      </c>
      <c r="D21" s="5" t="s">
        <v>104</v>
      </c>
      <c r="E21" s="5" t="s">
        <v>570</v>
      </c>
      <c r="F21" s="9" t="s">
        <v>1092</v>
      </c>
      <c r="G21" s="9" t="s">
        <v>1093</v>
      </c>
      <c r="H21" s="9" t="s">
        <v>1094</v>
      </c>
      <c r="I21" s="9" t="s">
        <v>1069</v>
      </c>
    </row>
    <row r="22" customFormat="false" ht="66" hidden="false" customHeight="true" outlineLevel="0" collapsed="false">
      <c r="A22" s="5" t="s">
        <v>1038</v>
      </c>
      <c r="B22" s="5" t="s">
        <v>1039</v>
      </c>
      <c r="C22" s="5" t="s">
        <v>1095</v>
      </c>
      <c r="D22" s="5" t="s">
        <v>1096</v>
      </c>
      <c r="E22" s="5" t="s">
        <v>1097</v>
      </c>
      <c r="F22" s="9" t="s">
        <v>1098</v>
      </c>
      <c r="G22" s="9" t="s">
        <v>1099</v>
      </c>
      <c r="H22" s="9" t="s">
        <v>1100</v>
      </c>
      <c r="I22" s="9" t="s">
        <v>1101</v>
      </c>
    </row>
    <row r="23" customFormat="false" ht="39" hidden="false" customHeight="true" outlineLevel="0" collapsed="false">
      <c r="A23" s="5" t="s">
        <v>1038</v>
      </c>
      <c r="B23" s="5" t="s">
        <v>1039</v>
      </c>
      <c r="C23" s="5" t="s">
        <v>1102</v>
      </c>
      <c r="D23" s="5" t="s">
        <v>1096</v>
      </c>
      <c r="E23" s="5" t="s">
        <v>1103</v>
      </c>
      <c r="F23" s="9" t="s">
        <v>1104</v>
      </c>
      <c r="G23" s="9" t="s">
        <v>1105</v>
      </c>
      <c r="H23" s="9" t="s">
        <v>1106</v>
      </c>
      <c r="I23" s="9" t="s">
        <v>1101</v>
      </c>
    </row>
    <row r="24" customFormat="false" ht="78.75" hidden="false" customHeight="true" outlineLevel="0" collapsed="false">
      <c r="A24" s="5" t="s">
        <v>1038</v>
      </c>
      <c r="B24" s="5" t="s">
        <v>1039</v>
      </c>
      <c r="C24" s="5" t="s">
        <v>1107</v>
      </c>
      <c r="D24" s="5" t="s">
        <v>1096</v>
      </c>
      <c r="E24" s="5" t="s">
        <v>1108</v>
      </c>
      <c r="F24" s="9" t="s">
        <v>1109</v>
      </c>
      <c r="G24" s="9" t="s">
        <v>1110</v>
      </c>
      <c r="H24" s="9" t="s">
        <v>1111</v>
      </c>
      <c r="I24" s="9" t="s">
        <v>1101</v>
      </c>
    </row>
    <row r="25" customFormat="false" ht="66" hidden="false" customHeight="true" outlineLevel="0" collapsed="false">
      <c r="A25" s="5" t="s">
        <v>1038</v>
      </c>
      <c r="B25" s="5" t="s">
        <v>1039</v>
      </c>
      <c r="C25" s="5" t="s">
        <v>1112</v>
      </c>
      <c r="D25" s="5" t="s">
        <v>1113</v>
      </c>
      <c r="E25" s="5" t="s">
        <v>1114</v>
      </c>
      <c r="F25" s="9" t="s">
        <v>1115</v>
      </c>
      <c r="G25" s="9" t="s">
        <v>1116</v>
      </c>
      <c r="H25" s="9" t="s">
        <v>1117</v>
      </c>
      <c r="I25" s="9" t="s">
        <v>1069</v>
      </c>
    </row>
    <row r="26" customFormat="false" ht="52.5" hidden="false" customHeight="true" outlineLevel="0" collapsed="false">
      <c r="A26" s="5" t="s">
        <v>1038</v>
      </c>
      <c r="B26" s="5" t="s">
        <v>1039</v>
      </c>
      <c r="C26" s="5" t="s">
        <v>1118</v>
      </c>
      <c r="D26" s="5" t="s">
        <v>1119</v>
      </c>
      <c r="E26" s="5" t="s">
        <v>1120</v>
      </c>
      <c r="F26" s="9" t="s">
        <v>1121</v>
      </c>
      <c r="G26" s="9" t="s">
        <v>1122</v>
      </c>
      <c r="H26" s="9" t="s">
        <v>1123</v>
      </c>
      <c r="I26" s="9" t="s">
        <v>1069</v>
      </c>
    </row>
    <row r="27" customFormat="false" ht="78.75" hidden="false" customHeight="true" outlineLevel="0" collapsed="false">
      <c r="A27" s="5" t="s">
        <v>1038</v>
      </c>
      <c r="B27" s="5" t="s">
        <v>1039</v>
      </c>
      <c r="C27" s="5" t="s">
        <v>1124</v>
      </c>
      <c r="D27" s="5" t="s">
        <v>1125</v>
      </c>
      <c r="E27" s="5" t="s">
        <v>1126</v>
      </c>
      <c r="F27" s="9" t="s">
        <v>1127</v>
      </c>
      <c r="G27" s="9" t="s">
        <v>1128</v>
      </c>
      <c r="H27" s="9" t="s">
        <v>1129</v>
      </c>
      <c r="I27" s="9" t="s">
        <v>1130</v>
      </c>
    </row>
    <row r="28" customFormat="false" ht="52.5" hidden="false" customHeight="true" outlineLevel="0" collapsed="false">
      <c r="A28" s="5" t="s">
        <v>1038</v>
      </c>
      <c r="B28" s="5" t="s">
        <v>1039</v>
      </c>
      <c r="C28" s="5" t="s">
        <v>1131</v>
      </c>
      <c r="D28" s="5" t="s">
        <v>19</v>
      </c>
      <c r="E28" s="5" t="s">
        <v>1132</v>
      </c>
      <c r="F28" s="9" t="n">
        <v>500</v>
      </c>
      <c r="G28" s="9" t="n">
        <v>571</v>
      </c>
      <c r="H28" s="9" t="s">
        <v>1133</v>
      </c>
      <c r="I28" s="9" t="s">
        <v>1134</v>
      </c>
    </row>
    <row r="29" customFormat="false" ht="52.5" hidden="false" customHeight="true" outlineLevel="0" collapsed="false">
      <c r="A29" s="5" t="s">
        <v>1038</v>
      </c>
      <c r="B29" s="5" t="s">
        <v>1039</v>
      </c>
      <c r="C29" s="5" t="s">
        <v>1135</v>
      </c>
      <c r="D29" s="5" t="s">
        <v>1136</v>
      </c>
      <c r="E29" s="5" t="s">
        <v>1137</v>
      </c>
      <c r="F29" s="9" t="s">
        <v>1138</v>
      </c>
      <c r="G29" s="9" t="s">
        <v>1139</v>
      </c>
      <c r="H29" s="9" t="s">
        <v>1140</v>
      </c>
      <c r="I29" s="9" t="s">
        <v>1101</v>
      </c>
    </row>
    <row r="30" customFormat="false" ht="52.5" hidden="false" customHeight="true" outlineLevel="0" collapsed="false">
      <c r="A30" s="5" t="s">
        <v>1038</v>
      </c>
      <c r="B30" s="5" t="s">
        <v>1039</v>
      </c>
      <c r="C30" s="5" t="s">
        <v>1141</v>
      </c>
      <c r="D30" s="5" t="s">
        <v>24</v>
      </c>
      <c r="E30" s="5" t="s">
        <v>570</v>
      </c>
      <c r="F30" s="9" t="s">
        <v>1142</v>
      </c>
      <c r="G30" s="9" t="s">
        <v>1143</v>
      </c>
      <c r="H30" s="9" t="s">
        <v>1144</v>
      </c>
      <c r="I30" s="9" t="s">
        <v>1145</v>
      </c>
    </row>
    <row r="31" customFormat="false" ht="52.5" hidden="false" customHeight="true" outlineLevel="0" collapsed="false">
      <c r="A31" s="5" t="s">
        <v>1038</v>
      </c>
      <c r="B31" s="5" t="s">
        <v>1039</v>
      </c>
      <c r="C31" s="5" t="s">
        <v>1141</v>
      </c>
      <c r="D31" s="5" t="s">
        <v>23</v>
      </c>
      <c r="E31" s="5" t="s">
        <v>570</v>
      </c>
      <c r="F31" s="9" t="s">
        <v>1146</v>
      </c>
      <c r="G31" s="9" t="s">
        <v>1147</v>
      </c>
      <c r="H31" s="9" t="s">
        <v>1148</v>
      </c>
      <c r="I31" s="9" t="s">
        <v>1149</v>
      </c>
    </row>
    <row r="32" customFormat="false" ht="39" hidden="false" customHeight="true" outlineLevel="0" collapsed="false">
      <c r="A32" s="5" t="s">
        <v>1038</v>
      </c>
      <c r="B32" s="5" t="s">
        <v>1039</v>
      </c>
      <c r="C32" s="5" t="s">
        <v>1150</v>
      </c>
      <c r="D32" s="5" t="s">
        <v>19</v>
      </c>
      <c r="E32" s="5" t="s">
        <v>570</v>
      </c>
      <c r="F32" s="9" t="n">
        <v>0.12</v>
      </c>
      <c r="G32" s="9" t="s">
        <v>1151</v>
      </c>
      <c r="H32" s="9" t="s">
        <v>1152</v>
      </c>
      <c r="I32" s="9" t="s">
        <v>621</v>
      </c>
    </row>
    <row r="33" customFormat="false" ht="52.5" hidden="false" customHeight="true" outlineLevel="0" collapsed="false">
      <c r="A33" s="5" t="s">
        <v>1038</v>
      </c>
      <c r="B33" s="5" t="s">
        <v>1039</v>
      </c>
      <c r="C33" s="5" t="s">
        <v>1153</v>
      </c>
      <c r="D33" s="5" t="s">
        <v>1154</v>
      </c>
      <c r="E33" s="5" t="s">
        <v>1047</v>
      </c>
      <c r="F33" s="9" t="s">
        <v>1155</v>
      </c>
      <c r="G33" s="9" t="s">
        <v>1156</v>
      </c>
      <c r="H33" s="9" t="s">
        <v>1157</v>
      </c>
      <c r="I33" s="9" t="s">
        <v>1158</v>
      </c>
    </row>
    <row r="34" customFormat="false" ht="14.25" hidden="false" customHeight="true" outlineLevel="0" collapsed="false">
      <c r="A34" s="5" t="s">
        <v>1038</v>
      </c>
      <c r="B34" s="5" t="s">
        <v>1039</v>
      </c>
      <c r="C34" s="5" t="s">
        <v>1153</v>
      </c>
      <c r="D34" s="5" t="s">
        <v>1159</v>
      </c>
      <c r="E34" s="5" t="s">
        <v>1047</v>
      </c>
      <c r="F34" s="9" t="s">
        <v>1155</v>
      </c>
      <c r="G34" s="9" t="s">
        <v>1156</v>
      </c>
      <c r="H34" s="9" t="s">
        <v>1160</v>
      </c>
      <c r="I34" s="9" t="s">
        <v>1161</v>
      </c>
    </row>
    <row r="35" customFormat="false" ht="66" hidden="false" customHeight="true" outlineLevel="0" collapsed="false">
      <c r="A35" s="5" t="s">
        <v>1038</v>
      </c>
      <c r="B35" s="5" t="s">
        <v>1039</v>
      </c>
      <c r="C35" s="5" t="s">
        <v>1162</v>
      </c>
      <c r="D35" s="5" t="s">
        <v>1163</v>
      </c>
      <c r="E35" s="5" t="s">
        <v>1164</v>
      </c>
      <c r="F35" s="9" t="s">
        <v>1165</v>
      </c>
      <c r="G35" s="9" t="s">
        <v>1166</v>
      </c>
      <c r="H35" s="9" t="s">
        <v>1167</v>
      </c>
      <c r="I35" s="9" t="s">
        <v>1168</v>
      </c>
    </row>
    <row r="36" customFormat="false" ht="78.75" hidden="false" customHeight="true" outlineLevel="0" collapsed="false">
      <c r="A36" s="5" t="s">
        <v>1038</v>
      </c>
      <c r="B36" s="5" t="s">
        <v>1039</v>
      </c>
      <c r="C36" s="5" t="s">
        <v>1169</v>
      </c>
      <c r="D36" s="5" t="s">
        <v>1096</v>
      </c>
      <c r="E36" s="5" t="s">
        <v>1170</v>
      </c>
      <c r="F36" s="9" t="s">
        <v>1171</v>
      </c>
      <c r="G36" s="9" t="s">
        <v>1172</v>
      </c>
      <c r="H36" s="9" t="s">
        <v>1173</v>
      </c>
      <c r="I36" s="9" t="s">
        <v>1101</v>
      </c>
    </row>
    <row r="37" customFormat="false" ht="52.5" hidden="false" customHeight="true" outlineLevel="0" collapsed="false">
      <c r="A37" s="5" t="s">
        <v>1038</v>
      </c>
      <c r="B37" s="5" t="s">
        <v>1039</v>
      </c>
      <c r="C37" s="5" t="s">
        <v>1174</v>
      </c>
      <c r="D37" s="5" t="s">
        <v>39</v>
      </c>
      <c r="E37" s="5" t="s">
        <v>1175</v>
      </c>
      <c r="F37" s="9" t="s">
        <v>1176</v>
      </c>
      <c r="G37" s="9" t="s">
        <v>1177</v>
      </c>
      <c r="H37" s="9" t="s">
        <v>1178</v>
      </c>
      <c r="I37" s="9" t="s">
        <v>1101</v>
      </c>
    </row>
    <row r="38" customFormat="false" ht="78.75" hidden="false" customHeight="true" outlineLevel="0" collapsed="false">
      <c r="A38" s="5" t="s">
        <v>1038</v>
      </c>
      <c r="B38" s="5" t="s">
        <v>1039</v>
      </c>
      <c r="C38" s="5" t="s">
        <v>1179</v>
      </c>
      <c r="D38" s="5" t="s">
        <v>1096</v>
      </c>
      <c r="E38" s="5" t="s">
        <v>1180</v>
      </c>
      <c r="F38" s="9" t="s">
        <v>1181</v>
      </c>
      <c r="G38" s="9" t="s">
        <v>1182</v>
      </c>
      <c r="H38" s="9" t="s">
        <v>1183</v>
      </c>
      <c r="I38" s="9" t="s">
        <v>1101</v>
      </c>
    </row>
    <row r="39" customFormat="false" ht="66" hidden="false" customHeight="true" outlineLevel="0" collapsed="false">
      <c r="A39" s="5" t="s">
        <v>1038</v>
      </c>
      <c r="B39" s="5" t="s">
        <v>1039</v>
      </c>
      <c r="C39" s="5" t="s">
        <v>1184</v>
      </c>
      <c r="D39" s="5" t="s">
        <v>1096</v>
      </c>
      <c r="E39" s="5" t="s">
        <v>1185</v>
      </c>
      <c r="F39" s="9" t="s">
        <v>1186</v>
      </c>
      <c r="G39" s="9" t="s">
        <v>1187</v>
      </c>
      <c r="H39" s="9" t="s">
        <v>1188</v>
      </c>
      <c r="I39" s="9" t="s">
        <v>1101</v>
      </c>
    </row>
    <row r="40" customFormat="false" ht="78.75" hidden="false" customHeight="true" outlineLevel="0" collapsed="false">
      <c r="A40" s="5" t="s">
        <v>1038</v>
      </c>
      <c r="B40" s="5" t="s">
        <v>1039</v>
      </c>
      <c r="C40" s="5" t="s">
        <v>1189</v>
      </c>
      <c r="D40" s="5" t="s">
        <v>1190</v>
      </c>
      <c r="E40" s="5" t="s">
        <v>1191</v>
      </c>
      <c r="F40" s="9" t="s">
        <v>1192</v>
      </c>
      <c r="G40" s="9" t="s">
        <v>1193</v>
      </c>
      <c r="H40" s="9" t="s">
        <v>1194</v>
      </c>
      <c r="I40" s="9" t="s">
        <v>1101</v>
      </c>
    </row>
    <row r="41" customFormat="false" ht="52.5" hidden="false" customHeight="true" outlineLevel="0" collapsed="false">
      <c r="A41" s="5" t="s">
        <v>1038</v>
      </c>
      <c r="B41" s="5" t="s">
        <v>1039</v>
      </c>
      <c r="C41" s="5" t="s">
        <v>1195</v>
      </c>
      <c r="D41" s="5" t="s">
        <v>1096</v>
      </c>
      <c r="E41" s="5" t="s">
        <v>1196</v>
      </c>
      <c r="F41" s="9" t="s">
        <v>1197</v>
      </c>
      <c r="G41" s="9" t="s">
        <v>1198</v>
      </c>
      <c r="H41" s="9" t="s">
        <v>1199</v>
      </c>
      <c r="I41" s="9" t="s">
        <v>1101</v>
      </c>
    </row>
    <row r="42" customFormat="false" ht="78.75" hidden="false" customHeight="true" outlineLevel="0" collapsed="false">
      <c r="A42" s="5" t="s">
        <v>1038</v>
      </c>
      <c r="B42" s="5" t="s">
        <v>1039</v>
      </c>
      <c r="C42" s="5" t="s">
        <v>1200</v>
      </c>
      <c r="D42" s="5" t="s">
        <v>1201</v>
      </c>
      <c r="E42" s="5" t="s">
        <v>1202</v>
      </c>
      <c r="F42" s="9" t="s">
        <v>1203</v>
      </c>
      <c r="G42" s="9" t="s">
        <v>1204</v>
      </c>
      <c r="H42" s="9" t="s">
        <v>1205</v>
      </c>
      <c r="I42" s="9" t="s">
        <v>1101</v>
      </c>
    </row>
    <row r="43" customFormat="false" ht="39" hidden="false" customHeight="true" outlineLevel="0" collapsed="false">
      <c r="A43" s="5" t="s">
        <v>1038</v>
      </c>
      <c r="B43" s="5" t="s">
        <v>1039</v>
      </c>
      <c r="C43" s="5" t="s">
        <v>1206</v>
      </c>
      <c r="D43" s="5" t="s">
        <v>1201</v>
      </c>
      <c r="E43" s="5" t="s">
        <v>1207</v>
      </c>
      <c r="F43" s="9" t="s">
        <v>1208</v>
      </c>
      <c r="G43" s="9" t="s">
        <v>1209</v>
      </c>
      <c r="H43" s="9" t="s">
        <v>1210</v>
      </c>
      <c r="I43" s="9" t="s">
        <v>1101</v>
      </c>
    </row>
    <row r="44" customFormat="false" ht="198" hidden="false" customHeight="true" outlineLevel="0" collapsed="false">
      <c r="A44" s="5" t="s">
        <v>1038</v>
      </c>
      <c r="B44" s="5" t="s">
        <v>1039</v>
      </c>
      <c r="C44" s="5" t="s">
        <v>1211</v>
      </c>
      <c r="D44" s="5" t="s">
        <v>1212</v>
      </c>
      <c r="E44" s="5" t="s">
        <v>1213</v>
      </c>
      <c r="F44" s="9" t="s">
        <v>1214</v>
      </c>
      <c r="G44" s="9" t="s">
        <v>1215</v>
      </c>
      <c r="H44" s="9" t="s">
        <v>1101</v>
      </c>
      <c r="I44" s="9"/>
    </row>
    <row r="45" customFormat="false" ht="66" hidden="false" customHeight="true" outlineLevel="0" collapsed="false">
      <c r="A45" s="5" t="s">
        <v>1038</v>
      </c>
      <c r="B45" s="5" t="s">
        <v>1039</v>
      </c>
      <c r="C45" s="5" t="s">
        <v>1216</v>
      </c>
      <c r="D45" s="5" t="s">
        <v>1096</v>
      </c>
      <c r="E45" s="5" t="s">
        <v>1217</v>
      </c>
      <c r="F45" s="9" t="s">
        <v>1218</v>
      </c>
      <c r="G45" s="9" t="s">
        <v>1219</v>
      </c>
      <c r="H45" s="9" t="s">
        <v>1220</v>
      </c>
      <c r="I45" s="9" t="s">
        <v>1101</v>
      </c>
    </row>
    <row r="46" customFormat="false" ht="52.5" hidden="false" customHeight="true" outlineLevel="0" collapsed="false">
      <c r="A46" s="5" t="s">
        <v>1038</v>
      </c>
      <c r="B46" s="5" t="s">
        <v>1221</v>
      </c>
      <c r="C46" s="5" t="s">
        <v>1222</v>
      </c>
      <c r="D46" s="5" t="s">
        <v>1223</v>
      </c>
      <c r="E46" s="5" t="s">
        <v>1224</v>
      </c>
      <c r="F46" s="9" t="s">
        <v>1225</v>
      </c>
      <c r="G46" s="9" t="s">
        <v>1226</v>
      </c>
      <c r="H46" s="9" t="s">
        <v>1227</v>
      </c>
      <c r="I46" s="9" t="s">
        <v>1228</v>
      </c>
    </row>
    <row r="47" customFormat="false" ht="66" hidden="false" customHeight="true" outlineLevel="0" collapsed="false">
      <c r="A47" s="5" t="s">
        <v>1038</v>
      </c>
      <c r="B47" s="5" t="s">
        <v>1221</v>
      </c>
      <c r="C47" s="5" t="s">
        <v>1229</v>
      </c>
      <c r="D47" s="5" t="s">
        <v>1096</v>
      </c>
      <c r="E47" s="5" t="s">
        <v>1230</v>
      </c>
      <c r="F47" s="9" t="s">
        <v>1231</v>
      </c>
      <c r="G47" s="9" t="s">
        <v>1232</v>
      </c>
      <c r="H47" s="9" t="s">
        <v>1233</v>
      </c>
      <c r="I47" s="9" t="s">
        <v>1228</v>
      </c>
    </row>
    <row r="48" customFormat="false" ht="39" hidden="false" customHeight="true" outlineLevel="0" collapsed="false">
      <c r="A48" s="5" t="s">
        <v>1038</v>
      </c>
      <c r="B48" s="5" t="s">
        <v>1221</v>
      </c>
      <c r="C48" s="5" t="s">
        <v>1234</v>
      </c>
      <c r="D48" s="5" t="s">
        <v>1235</v>
      </c>
      <c r="E48" s="5" t="s">
        <v>133</v>
      </c>
      <c r="F48" s="9" t="s">
        <v>1236</v>
      </c>
      <c r="G48" s="9" t="s">
        <v>1237</v>
      </c>
      <c r="H48" s="9" t="s">
        <v>1238</v>
      </c>
      <c r="I48" s="9" t="s">
        <v>1228</v>
      </c>
    </row>
    <row r="49" customFormat="false" ht="26.25" hidden="false" customHeight="true" outlineLevel="0" collapsed="false">
      <c r="A49" s="5" t="s">
        <v>1038</v>
      </c>
      <c r="B49" s="5" t="s">
        <v>1221</v>
      </c>
      <c r="C49" s="5" t="s">
        <v>1239</v>
      </c>
      <c r="D49" s="5" t="s">
        <v>1240</v>
      </c>
      <c r="E49" s="5" t="s">
        <v>134</v>
      </c>
      <c r="F49" s="9" t="s">
        <v>1241</v>
      </c>
      <c r="G49" s="9" t="s">
        <v>1242</v>
      </c>
      <c r="H49" s="9" t="s">
        <v>1243</v>
      </c>
      <c r="I49" s="9" t="s">
        <v>1228</v>
      </c>
    </row>
    <row r="50" customFormat="false" ht="26.25" hidden="false" customHeight="true" outlineLevel="0" collapsed="false">
      <c r="A50" s="5" t="s">
        <v>1038</v>
      </c>
      <c r="B50" s="5" t="s">
        <v>1221</v>
      </c>
      <c r="C50" s="5" t="s">
        <v>1239</v>
      </c>
      <c r="D50" s="5" t="s">
        <v>1240</v>
      </c>
      <c r="E50" s="5" t="s">
        <v>15</v>
      </c>
      <c r="F50" s="9" t="s">
        <v>1244</v>
      </c>
      <c r="G50" s="9" t="s">
        <v>1242</v>
      </c>
      <c r="H50" s="9" t="s">
        <v>1245</v>
      </c>
      <c r="I50" s="9" t="s">
        <v>1228</v>
      </c>
    </row>
    <row r="51" customFormat="false" ht="26.25" hidden="false" customHeight="true" outlineLevel="0" collapsed="false">
      <c r="A51" s="5" t="s">
        <v>1038</v>
      </c>
      <c r="B51" s="5" t="s">
        <v>1221</v>
      </c>
      <c r="C51" s="5" t="s">
        <v>1246</v>
      </c>
      <c r="D51" s="5" t="s">
        <v>98</v>
      </c>
      <c r="E51" s="5" t="s">
        <v>126</v>
      </c>
      <c r="F51" s="9" t="s">
        <v>599</v>
      </c>
      <c r="G51" s="9" t="s">
        <v>606</v>
      </c>
      <c r="H51" s="9" t="s">
        <v>1247</v>
      </c>
      <c r="I51" s="9" t="s">
        <v>1228</v>
      </c>
    </row>
    <row r="52" customFormat="false" ht="26.25" hidden="false" customHeight="true" outlineLevel="0" collapsed="false">
      <c r="A52" s="5" t="s">
        <v>1038</v>
      </c>
      <c r="B52" s="5" t="s">
        <v>1221</v>
      </c>
      <c r="C52" s="5" t="s">
        <v>1246</v>
      </c>
      <c r="D52" s="5" t="s">
        <v>26</v>
      </c>
      <c r="E52" s="5" t="s">
        <v>126</v>
      </c>
      <c r="F52" s="9" t="s">
        <v>599</v>
      </c>
      <c r="G52" s="9" t="s">
        <v>617</v>
      </c>
      <c r="H52" s="9" t="s">
        <v>1248</v>
      </c>
      <c r="I52" s="9" t="s">
        <v>1228</v>
      </c>
    </row>
    <row r="53" customFormat="false" ht="26.25" hidden="false" customHeight="true" outlineLevel="0" collapsed="false">
      <c r="A53" s="5" t="s">
        <v>1038</v>
      </c>
      <c r="B53" s="5" t="s">
        <v>1221</v>
      </c>
      <c r="C53" s="5" t="s">
        <v>1249</v>
      </c>
      <c r="D53" s="5" t="s">
        <v>1250</v>
      </c>
      <c r="E53" s="5" t="s">
        <v>1251</v>
      </c>
      <c r="F53" s="9" t="s">
        <v>1252</v>
      </c>
      <c r="G53" s="9" t="s">
        <v>1253</v>
      </c>
      <c r="H53" s="9" t="s">
        <v>1254</v>
      </c>
      <c r="I53" s="9" t="s">
        <v>1228</v>
      </c>
    </row>
    <row r="54" customFormat="false" ht="39" hidden="false" customHeight="true" outlineLevel="0" collapsed="false">
      <c r="A54" s="5" t="s">
        <v>1038</v>
      </c>
      <c r="B54" s="5" t="s">
        <v>1221</v>
      </c>
      <c r="C54" s="5" t="s">
        <v>1255</v>
      </c>
      <c r="D54" s="5" t="s">
        <v>1256</v>
      </c>
      <c r="E54" s="5" t="s">
        <v>1257</v>
      </c>
      <c r="F54" s="9" t="s">
        <v>1258</v>
      </c>
      <c r="G54" s="9" t="s">
        <v>1259</v>
      </c>
      <c r="H54" s="9" t="s">
        <v>1260</v>
      </c>
      <c r="I54" s="9" t="s">
        <v>1228</v>
      </c>
    </row>
    <row r="55" customFormat="false" ht="26.25" hidden="false" customHeight="true" outlineLevel="0" collapsed="false">
      <c r="A55" s="5" t="s">
        <v>1038</v>
      </c>
      <c r="B55" s="5" t="s">
        <v>1221</v>
      </c>
      <c r="C55" s="5" t="s">
        <v>1261</v>
      </c>
      <c r="D55" s="5" t="s">
        <v>1262</v>
      </c>
      <c r="E55" s="5" t="s">
        <v>1263</v>
      </c>
      <c r="F55" s="9" t="s">
        <v>1264</v>
      </c>
      <c r="G55" s="9" t="s">
        <v>1265</v>
      </c>
      <c r="H55" s="9" t="s">
        <v>1266</v>
      </c>
      <c r="I55" s="9" t="s">
        <v>1228</v>
      </c>
    </row>
    <row r="56" customFormat="false" ht="26.25" hidden="false" customHeight="true" outlineLevel="0" collapsed="false">
      <c r="A56" s="5" t="s">
        <v>1038</v>
      </c>
      <c r="B56" s="5" t="s">
        <v>1221</v>
      </c>
      <c r="C56" s="5" t="s">
        <v>1267</v>
      </c>
      <c r="D56" s="5" t="s">
        <v>1268</v>
      </c>
      <c r="E56" s="5" t="s">
        <v>1269</v>
      </c>
      <c r="F56" s="9" t="s">
        <v>1270</v>
      </c>
      <c r="G56" s="9" t="s">
        <v>1271</v>
      </c>
      <c r="H56" s="9" t="s">
        <v>1272</v>
      </c>
      <c r="I56" s="9" t="s">
        <v>1228</v>
      </c>
    </row>
    <row r="57" customFormat="false" ht="52.5" hidden="false" customHeight="true" outlineLevel="0" collapsed="false">
      <c r="A57" s="5" t="s">
        <v>1038</v>
      </c>
      <c r="B57" s="5" t="s">
        <v>1221</v>
      </c>
      <c r="C57" s="5" t="s">
        <v>1273</v>
      </c>
      <c r="D57" s="5" t="s">
        <v>1274</v>
      </c>
      <c r="E57" s="5" t="s">
        <v>782</v>
      </c>
      <c r="F57" s="9" t="s">
        <v>1275</v>
      </c>
      <c r="G57" s="9" t="s">
        <v>1276</v>
      </c>
      <c r="H57" s="9" t="s">
        <v>1277</v>
      </c>
      <c r="I57" s="9" t="s">
        <v>1228</v>
      </c>
    </row>
    <row r="58" customFormat="false" ht="39" hidden="false" customHeight="true" outlineLevel="0" collapsed="false">
      <c r="A58" s="5" t="s">
        <v>1038</v>
      </c>
      <c r="B58" s="5" t="s">
        <v>1221</v>
      </c>
      <c r="C58" s="5" t="s">
        <v>1273</v>
      </c>
      <c r="D58" s="5" t="s">
        <v>1278</v>
      </c>
      <c r="E58" s="5" t="s">
        <v>784</v>
      </c>
      <c r="F58" s="9" t="s">
        <v>1275</v>
      </c>
      <c r="G58" s="9" t="s">
        <v>1279</v>
      </c>
      <c r="H58" s="9" t="s">
        <v>1280</v>
      </c>
      <c r="I58" s="9" t="s">
        <v>1228</v>
      </c>
    </row>
    <row r="59" customFormat="false" ht="39" hidden="false" customHeight="true" outlineLevel="0" collapsed="false">
      <c r="A59" s="5" t="s">
        <v>1038</v>
      </c>
      <c r="B59" s="5" t="s">
        <v>1221</v>
      </c>
      <c r="C59" s="5" t="s">
        <v>1281</v>
      </c>
      <c r="D59" s="5" t="s">
        <v>1282</v>
      </c>
      <c r="E59" s="5" t="s">
        <v>1283</v>
      </c>
      <c r="F59" s="9" t="s">
        <v>1284</v>
      </c>
      <c r="G59" s="9" t="s">
        <v>1285</v>
      </c>
      <c r="H59" s="9" t="s">
        <v>1286</v>
      </c>
      <c r="I59" s="9" t="s">
        <v>1228</v>
      </c>
    </row>
    <row r="60" customFormat="false" ht="39" hidden="false" customHeight="true" outlineLevel="0" collapsed="false">
      <c r="A60" s="5" t="s">
        <v>1038</v>
      </c>
      <c r="B60" s="5" t="s">
        <v>1221</v>
      </c>
      <c r="C60" s="5" t="s">
        <v>1234</v>
      </c>
      <c r="D60" s="5" t="s">
        <v>1287</v>
      </c>
      <c r="E60" s="5" t="s">
        <v>9</v>
      </c>
      <c r="F60" s="9" t="s">
        <v>1288</v>
      </c>
      <c r="G60" s="9" t="s">
        <v>1289</v>
      </c>
      <c r="H60" s="9" t="s">
        <v>1290</v>
      </c>
      <c r="I60" s="9" t="s">
        <v>1228</v>
      </c>
    </row>
    <row r="61" customFormat="false" ht="14.25" hidden="false" customHeight="true" outlineLevel="0" collapsed="false">
      <c r="A61" s="5" t="s">
        <v>1038</v>
      </c>
      <c r="B61" s="5" t="s">
        <v>1221</v>
      </c>
      <c r="C61" s="5" t="s">
        <v>1261</v>
      </c>
      <c r="D61" s="5" t="s">
        <v>1096</v>
      </c>
      <c r="E61" s="5" t="s">
        <v>1291</v>
      </c>
      <c r="F61" s="9" t="s">
        <v>1292</v>
      </c>
      <c r="G61" s="9" t="s">
        <v>1293</v>
      </c>
      <c r="H61" s="9" t="s">
        <v>1294</v>
      </c>
      <c r="I61" s="9" t="s">
        <v>1228</v>
      </c>
    </row>
    <row r="62" customFormat="false" ht="26.25" hidden="false" customHeight="true" outlineLevel="0" collapsed="false">
      <c r="A62" s="5" t="s">
        <v>1038</v>
      </c>
      <c r="B62" s="5" t="s">
        <v>1221</v>
      </c>
      <c r="C62" s="5" t="s">
        <v>1295</v>
      </c>
      <c r="D62" s="5" t="s">
        <v>1296</v>
      </c>
      <c r="E62" s="5" t="s">
        <v>841</v>
      </c>
      <c r="F62" s="9" t="s">
        <v>1297</v>
      </c>
      <c r="G62" s="9" t="s">
        <v>1298</v>
      </c>
      <c r="H62" s="9" t="s">
        <v>1299</v>
      </c>
      <c r="I62" s="9" t="s">
        <v>1228</v>
      </c>
    </row>
    <row r="63" customFormat="false" ht="26.25" hidden="false" customHeight="true" outlineLevel="0" collapsed="false">
      <c r="A63" s="5" t="s">
        <v>1038</v>
      </c>
      <c r="B63" s="5" t="s">
        <v>1221</v>
      </c>
      <c r="C63" s="5" t="s">
        <v>1300</v>
      </c>
      <c r="D63" s="5" t="s">
        <v>1301</v>
      </c>
      <c r="E63" s="5" t="s">
        <v>1302</v>
      </c>
      <c r="F63" s="9" t="s">
        <v>1303</v>
      </c>
      <c r="G63" s="9" t="s">
        <v>1304</v>
      </c>
      <c r="H63" s="9" t="s">
        <v>1305</v>
      </c>
      <c r="I63" s="9" t="s">
        <v>1228</v>
      </c>
    </row>
    <row r="64" customFormat="false" ht="26.25" hidden="false" customHeight="true" outlineLevel="0" collapsed="false">
      <c r="A64" s="5" t="s">
        <v>1038</v>
      </c>
      <c r="B64" s="5" t="s">
        <v>1221</v>
      </c>
      <c r="C64" s="5" t="s">
        <v>1306</v>
      </c>
      <c r="D64" s="5" t="s">
        <v>1163</v>
      </c>
      <c r="E64" s="5" t="s">
        <v>127</v>
      </c>
      <c r="F64" s="9" t="s">
        <v>584</v>
      </c>
      <c r="G64" s="9" t="s">
        <v>584</v>
      </c>
      <c r="H64" s="9" t="s">
        <v>1307</v>
      </c>
      <c r="I64" s="9" t="s">
        <v>1228</v>
      </c>
    </row>
    <row r="65" customFormat="false" ht="45.75" hidden="false" customHeight="true" outlineLevel="0" collapsed="false">
      <c r="A65" s="5" t="s">
        <v>1308</v>
      </c>
      <c r="B65" s="5" t="s">
        <v>1221</v>
      </c>
      <c r="C65" s="5" t="s">
        <v>1309</v>
      </c>
      <c r="D65" s="5" t="s">
        <v>1096</v>
      </c>
      <c r="E65" s="5" t="s">
        <v>1310</v>
      </c>
      <c r="F65" s="9" t="s">
        <v>1311</v>
      </c>
      <c r="G65" s="9" t="s">
        <v>1312</v>
      </c>
      <c r="H65" s="9" t="s">
        <v>1313</v>
      </c>
      <c r="I65" s="9" t="s">
        <v>1314</v>
      </c>
    </row>
    <row r="66" customFormat="false" ht="39.75" hidden="false" customHeight="true" outlineLevel="0" collapsed="false">
      <c r="A66" s="5" t="s">
        <v>1308</v>
      </c>
      <c r="B66" s="5" t="s">
        <v>1221</v>
      </c>
      <c r="C66" s="5" t="s">
        <v>1315</v>
      </c>
      <c r="D66" s="5" t="s">
        <v>106</v>
      </c>
      <c r="E66" s="5" t="s">
        <v>784</v>
      </c>
      <c r="F66" s="9" t="s">
        <v>1298</v>
      </c>
      <c r="G66" s="9" t="s">
        <v>1316</v>
      </c>
      <c r="H66" s="9" t="s">
        <v>1317</v>
      </c>
      <c r="I66" s="9" t="s">
        <v>1318</v>
      </c>
    </row>
    <row r="67" customFormat="false" ht="39.75" hidden="false" customHeight="true" outlineLevel="0" collapsed="false">
      <c r="A67" s="5" t="s">
        <v>1308</v>
      </c>
      <c r="B67" s="5" t="s">
        <v>1221</v>
      </c>
      <c r="C67" s="5" t="s">
        <v>1315</v>
      </c>
      <c r="D67" s="5" t="s">
        <v>108</v>
      </c>
      <c r="E67" s="5" t="s">
        <v>784</v>
      </c>
      <c r="F67" s="9" t="s">
        <v>1298</v>
      </c>
      <c r="G67" s="9" t="s">
        <v>1319</v>
      </c>
      <c r="H67" s="9" t="s">
        <v>1320</v>
      </c>
      <c r="I67" s="9" t="s">
        <v>1321</v>
      </c>
    </row>
    <row r="68" customFormat="false" ht="39.75" hidden="false" customHeight="true" outlineLevel="0" collapsed="false">
      <c r="A68" s="5" t="s">
        <v>1308</v>
      </c>
      <c r="B68" s="5" t="s">
        <v>1221</v>
      </c>
      <c r="C68" s="5" t="s">
        <v>1315</v>
      </c>
      <c r="D68" s="5" t="s">
        <v>91</v>
      </c>
      <c r="E68" s="5" t="s">
        <v>784</v>
      </c>
      <c r="F68" s="9" t="s">
        <v>1298</v>
      </c>
      <c r="G68" s="9" t="s">
        <v>1322</v>
      </c>
      <c r="H68" s="9" t="s">
        <v>1323</v>
      </c>
      <c r="I68" s="9" t="s">
        <v>1324</v>
      </c>
    </row>
    <row r="69" customFormat="false" ht="39.75" hidden="false" customHeight="true" outlineLevel="0" collapsed="false">
      <c r="A69" s="5" t="s">
        <v>1308</v>
      </c>
      <c r="B69" s="5" t="s">
        <v>1221</v>
      </c>
      <c r="C69" s="5" t="s">
        <v>1315</v>
      </c>
      <c r="D69" s="5" t="s">
        <v>105</v>
      </c>
      <c r="E69" s="5" t="s">
        <v>784</v>
      </c>
      <c r="F69" s="9" t="s">
        <v>1298</v>
      </c>
      <c r="G69" s="9" t="s">
        <v>1325</v>
      </c>
      <c r="H69" s="9" t="s">
        <v>1323</v>
      </c>
      <c r="I69" s="9" t="s">
        <v>1324</v>
      </c>
    </row>
    <row r="70" customFormat="false" ht="39.75" hidden="false" customHeight="true" outlineLevel="0" collapsed="false">
      <c r="A70" s="5" t="s">
        <v>1308</v>
      </c>
      <c r="B70" s="5" t="s">
        <v>1221</v>
      </c>
      <c r="C70" s="5" t="s">
        <v>1315</v>
      </c>
      <c r="D70" s="5" t="s">
        <v>111</v>
      </c>
      <c r="E70" s="5" t="s">
        <v>784</v>
      </c>
      <c r="F70" s="9" t="s">
        <v>1298</v>
      </c>
      <c r="G70" s="9" t="s">
        <v>1326</v>
      </c>
      <c r="H70" s="9" t="s">
        <v>1327</v>
      </c>
      <c r="I70" s="9" t="s">
        <v>1328</v>
      </c>
    </row>
    <row r="71" customFormat="false" ht="39.75" hidden="false" customHeight="true" outlineLevel="0" collapsed="false">
      <c r="A71" s="5" t="s">
        <v>1308</v>
      </c>
      <c r="B71" s="5" t="s">
        <v>1221</v>
      </c>
      <c r="C71" s="5" t="s">
        <v>1329</v>
      </c>
      <c r="D71" s="5" t="s">
        <v>110</v>
      </c>
      <c r="E71" s="5" t="s">
        <v>784</v>
      </c>
      <c r="F71" s="9" t="s">
        <v>1298</v>
      </c>
      <c r="G71" s="9" t="s">
        <v>1330</v>
      </c>
      <c r="H71" s="9" t="s">
        <v>1331</v>
      </c>
      <c r="I71" s="9" t="s">
        <v>1324</v>
      </c>
    </row>
    <row r="72" customFormat="false" ht="39.75" hidden="false" customHeight="true" outlineLevel="0" collapsed="false">
      <c r="A72" s="5" t="s">
        <v>1308</v>
      </c>
      <c r="B72" s="5" t="s">
        <v>1221</v>
      </c>
      <c r="C72" s="5" t="s">
        <v>1332</v>
      </c>
      <c r="D72" s="5" t="s">
        <v>110</v>
      </c>
      <c r="E72" s="5" t="s">
        <v>1333</v>
      </c>
      <c r="F72" s="9" t="s">
        <v>1334</v>
      </c>
      <c r="G72" s="9" t="s">
        <v>1335</v>
      </c>
      <c r="H72" s="9" t="s">
        <v>1336</v>
      </c>
      <c r="I72" s="9" t="s">
        <v>1337</v>
      </c>
    </row>
    <row r="73" customFormat="false" ht="39.75" hidden="false" customHeight="true" outlineLevel="0" collapsed="false">
      <c r="A73" s="5" t="s">
        <v>1308</v>
      </c>
      <c r="B73" s="5" t="s">
        <v>1221</v>
      </c>
      <c r="C73" s="5" t="s">
        <v>1332</v>
      </c>
      <c r="D73" s="5" t="s">
        <v>105</v>
      </c>
      <c r="E73" s="5" t="s">
        <v>1333</v>
      </c>
      <c r="F73" s="9" t="s">
        <v>1334</v>
      </c>
      <c r="G73" s="9" t="s">
        <v>1338</v>
      </c>
      <c r="H73" s="9" t="s">
        <v>1339</v>
      </c>
      <c r="I73" s="9" t="s">
        <v>1340</v>
      </c>
    </row>
    <row r="74" customFormat="false" ht="39.75" hidden="false" customHeight="true" outlineLevel="0" collapsed="false">
      <c r="A74" s="5" t="s">
        <v>1308</v>
      </c>
      <c r="B74" s="5" t="s">
        <v>1221</v>
      </c>
      <c r="C74" s="5" t="s">
        <v>1332</v>
      </c>
      <c r="D74" s="5" t="s">
        <v>69</v>
      </c>
      <c r="E74" s="5" t="s">
        <v>13</v>
      </c>
      <c r="F74" s="9" t="s">
        <v>1334</v>
      </c>
      <c r="G74" s="9" t="s">
        <v>1341</v>
      </c>
      <c r="H74" s="9" t="s">
        <v>1342</v>
      </c>
      <c r="I74" s="9" t="s">
        <v>1343</v>
      </c>
    </row>
    <row r="75" customFormat="false" ht="39.75" hidden="false" customHeight="true" outlineLevel="0" collapsed="false">
      <c r="A75" s="5" t="s">
        <v>1308</v>
      </c>
      <c r="B75" s="5" t="s">
        <v>1221</v>
      </c>
      <c r="C75" s="5" t="s">
        <v>1332</v>
      </c>
      <c r="D75" s="5" t="s">
        <v>103</v>
      </c>
      <c r="E75" s="5" t="s">
        <v>13</v>
      </c>
      <c r="F75" s="9" t="s">
        <v>1334</v>
      </c>
      <c r="G75" s="9" t="s">
        <v>1344</v>
      </c>
      <c r="H75" s="9" t="s">
        <v>1345</v>
      </c>
      <c r="I75" s="9" t="s">
        <v>1343</v>
      </c>
    </row>
    <row r="76" customFormat="false" ht="39.75" hidden="false" customHeight="true" outlineLevel="0" collapsed="false">
      <c r="A76" s="5" t="s">
        <v>1308</v>
      </c>
      <c r="B76" s="5" t="s">
        <v>1221</v>
      </c>
      <c r="C76" s="5" t="s">
        <v>1346</v>
      </c>
      <c r="D76" s="5" t="s">
        <v>23</v>
      </c>
      <c r="E76" s="5" t="s">
        <v>113</v>
      </c>
      <c r="F76" s="9" t="s">
        <v>1347</v>
      </c>
      <c r="G76" s="9" t="s">
        <v>1348</v>
      </c>
      <c r="H76" s="9" t="s">
        <v>1349</v>
      </c>
      <c r="I76" s="9" t="s">
        <v>1069</v>
      </c>
    </row>
    <row r="77" customFormat="false" ht="39.75" hidden="false" customHeight="true" outlineLevel="0" collapsed="false">
      <c r="A77" s="5" t="s">
        <v>1308</v>
      </c>
      <c r="B77" s="5" t="s">
        <v>1221</v>
      </c>
      <c r="C77" s="5" t="s">
        <v>1350</v>
      </c>
      <c r="D77" s="5" t="s">
        <v>54</v>
      </c>
      <c r="E77" s="5" t="s">
        <v>1351</v>
      </c>
      <c r="F77" s="9" t="s">
        <v>1352</v>
      </c>
      <c r="G77" s="9" t="s">
        <v>1353</v>
      </c>
      <c r="H77" s="9" t="s">
        <v>1354</v>
      </c>
      <c r="I77" s="9" t="s">
        <v>1355</v>
      </c>
    </row>
    <row r="78" customFormat="false" ht="39.75" hidden="false" customHeight="true" outlineLevel="0" collapsed="false">
      <c r="A78" s="5" t="s">
        <v>1308</v>
      </c>
      <c r="B78" s="5" t="s">
        <v>1221</v>
      </c>
      <c r="C78" s="5" t="s">
        <v>1356</v>
      </c>
      <c r="D78" s="5" t="s">
        <v>54</v>
      </c>
      <c r="E78" s="5" t="s">
        <v>1357</v>
      </c>
      <c r="F78" s="9" t="s">
        <v>1358</v>
      </c>
      <c r="G78" s="9" t="s">
        <v>1359</v>
      </c>
      <c r="H78" s="9" t="s">
        <v>1360</v>
      </c>
      <c r="I78" s="9" t="s">
        <v>1361</v>
      </c>
    </row>
    <row r="79" customFormat="false" ht="39.75" hidden="false" customHeight="true" outlineLevel="0" collapsed="false">
      <c r="A79" s="5" t="s">
        <v>1308</v>
      </c>
      <c r="B79" s="5" t="s">
        <v>1221</v>
      </c>
      <c r="C79" s="5" t="s">
        <v>1350</v>
      </c>
      <c r="D79" s="5" t="s">
        <v>109</v>
      </c>
      <c r="E79" s="5" t="s">
        <v>1351</v>
      </c>
      <c r="F79" s="9" t="s">
        <v>1352</v>
      </c>
      <c r="G79" s="9" t="s">
        <v>1353</v>
      </c>
      <c r="H79" s="9" t="s">
        <v>1362</v>
      </c>
      <c r="I79" s="9" t="s">
        <v>1355</v>
      </c>
    </row>
    <row r="80" customFormat="false" ht="39.75" hidden="false" customHeight="true" outlineLevel="0" collapsed="false">
      <c r="A80" s="5" t="s">
        <v>1308</v>
      </c>
      <c r="B80" s="5" t="s">
        <v>1221</v>
      </c>
      <c r="C80" s="5" t="s">
        <v>1363</v>
      </c>
      <c r="D80" s="5" t="s">
        <v>109</v>
      </c>
      <c r="E80" s="5" t="s">
        <v>15</v>
      </c>
      <c r="F80" s="9" t="s">
        <v>754</v>
      </c>
      <c r="G80" s="9" t="s">
        <v>522</v>
      </c>
      <c r="H80" s="9" t="s">
        <v>1364</v>
      </c>
      <c r="I80" s="9" t="s">
        <v>1365</v>
      </c>
    </row>
    <row r="81" customFormat="false" ht="39.75" hidden="false" customHeight="true" outlineLevel="0" collapsed="false">
      <c r="A81" s="5" t="s">
        <v>1308</v>
      </c>
      <c r="B81" s="5" t="s">
        <v>1221</v>
      </c>
      <c r="C81" s="5" t="s">
        <v>1363</v>
      </c>
      <c r="D81" s="5" t="s">
        <v>102</v>
      </c>
      <c r="E81" s="5" t="s">
        <v>15</v>
      </c>
      <c r="F81" s="9" t="s">
        <v>754</v>
      </c>
      <c r="G81" s="9" t="s">
        <v>151</v>
      </c>
      <c r="H81" s="9" t="s">
        <v>1366</v>
      </c>
      <c r="I81" s="9" t="s">
        <v>1367</v>
      </c>
    </row>
    <row r="82" customFormat="false" ht="39.75" hidden="false" customHeight="true" outlineLevel="0" collapsed="false">
      <c r="A82" s="5" t="s">
        <v>1308</v>
      </c>
      <c r="B82" s="5" t="s">
        <v>1221</v>
      </c>
      <c r="C82" s="5" t="s">
        <v>1249</v>
      </c>
      <c r="D82" s="5" t="s">
        <v>1368</v>
      </c>
      <c r="E82" s="5" t="s">
        <v>1351</v>
      </c>
      <c r="F82" s="9" t="s">
        <v>1369</v>
      </c>
      <c r="G82" s="9" t="s">
        <v>1370</v>
      </c>
      <c r="H82" s="9" t="s">
        <v>1371</v>
      </c>
      <c r="I82" s="9" t="s">
        <v>1228</v>
      </c>
    </row>
    <row r="83" customFormat="false" ht="39.75" hidden="false" customHeight="true" outlineLevel="0" collapsed="false">
      <c r="A83" s="5" t="s">
        <v>1308</v>
      </c>
      <c r="B83" s="5" t="s">
        <v>1221</v>
      </c>
      <c r="C83" s="5" t="s">
        <v>1372</v>
      </c>
      <c r="D83" s="5" t="s">
        <v>18</v>
      </c>
      <c r="E83" s="5" t="s">
        <v>684</v>
      </c>
      <c r="F83" s="9" t="s">
        <v>1373</v>
      </c>
      <c r="G83" s="9" t="s">
        <v>1374</v>
      </c>
      <c r="H83" s="9" t="s">
        <v>1375</v>
      </c>
      <c r="I83" s="9" t="s">
        <v>1376</v>
      </c>
    </row>
    <row r="84" customFormat="false" ht="39.75" hidden="false" customHeight="true" outlineLevel="0" collapsed="false">
      <c r="A84" s="5" t="s">
        <v>1308</v>
      </c>
      <c r="B84" s="5" t="s">
        <v>1221</v>
      </c>
      <c r="C84" s="5" t="s">
        <v>1372</v>
      </c>
      <c r="D84" s="5" t="s">
        <v>47</v>
      </c>
      <c r="E84" s="5" t="s">
        <v>684</v>
      </c>
      <c r="F84" s="9" t="s">
        <v>1377</v>
      </c>
      <c r="G84" s="9" t="s">
        <v>1374</v>
      </c>
      <c r="H84" s="9" t="s">
        <v>1375</v>
      </c>
      <c r="I84" s="9" t="s">
        <v>1376</v>
      </c>
    </row>
    <row r="85" customFormat="false" ht="39.75" hidden="false" customHeight="true" outlineLevel="0" collapsed="false">
      <c r="A85" s="5" t="s">
        <v>1308</v>
      </c>
      <c r="B85" s="5" t="s">
        <v>1221</v>
      </c>
      <c r="C85" s="5" t="s">
        <v>1372</v>
      </c>
      <c r="D85" s="5" t="s">
        <v>42</v>
      </c>
      <c r="E85" s="5" t="s">
        <v>684</v>
      </c>
      <c r="F85" s="9" t="s">
        <v>1378</v>
      </c>
      <c r="G85" s="9" t="s">
        <v>1374</v>
      </c>
      <c r="H85" s="9" t="s">
        <v>1375</v>
      </c>
      <c r="I85" s="9" t="s">
        <v>1376</v>
      </c>
    </row>
    <row r="86" customFormat="false" ht="39.75" hidden="false" customHeight="true" outlineLevel="0" collapsed="false">
      <c r="A86" s="5" t="s">
        <v>1308</v>
      </c>
      <c r="B86" s="5" t="s">
        <v>1221</v>
      </c>
      <c r="C86" s="5" t="s">
        <v>1372</v>
      </c>
      <c r="D86" s="5" t="s">
        <v>39</v>
      </c>
      <c r="E86" s="5" t="s">
        <v>684</v>
      </c>
      <c r="F86" s="9" t="s">
        <v>1379</v>
      </c>
      <c r="G86" s="9" t="s">
        <v>1374</v>
      </c>
      <c r="H86" s="9" t="s">
        <v>1375</v>
      </c>
      <c r="I86" s="9" t="s">
        <v>1376</v>
      </c>
    </row>
    <row r="87" customFormat="false" ht="39.75" hidden="false" customHeight="true" outlineLevel="0" collapsed="false">
      <c r="A87" s="5" t="s">
        <v>1308</v>
      </c>
      <c r="B87" s="5" t="s">
        <v>1221</v>
      </c>
      <c r="C87" s="5" t="s">
        <v>1380</v>
      </c>
      <c r="D87" s="5" t="s">
        <v>20</v>
      </c>
      <c r="E87" s="5" t="s">
        <v>684</v>
      </c>
      <c r="F87" s="9" t="s">
        <v>1381</v>
      </c>
      <c r="G87" s="9" t="s">
        <v>1382</v>
      </c>
      <c r="H87" s="9" t="s">
        <v>1383</v>
      </c>
      <c r="I87" s="9" t="s">
        <v>1384</v>
      </c>
    </row>
    <row r="88" customFormat="false" ht="39.75" hidden="false" customHeight="true" outlineLevel="0" collapsed="false">
      <c r="A88" s="5" t="s">
        <v>1308</v>
      </c>
      <c r="B88" s="5" t="s">
        <v>1221</v>
      </c>
      <c r="C88" s="5" t="s">
        <v>1380</v>
      </c>
      <c r="D88" s="5" t="s">
        <v>28</v>
      </c>
      <c r="E88" s="5" t="s">
        <v>684</v>
      </c>
      <c r="F88" s="9" t="s">
        <v>1385</v>
      </c>
      <c r="G88" s="9" t="s">
        <v>1386</v>
      </c>
      <c r="H88" s="9" t="s">
        <v>1387</v>
      </c>
      <c r="I88" s="9" t="s">
        <v>1384</v>
      </c>
    </row>
    <row r="89" customFormat="false" ht="39.75" hidden="false" customHeight="true" outlineLevel="0" collapsed="false">
      <c r="A89" s="5" t="s">
        <v>1308</v>
      </c>
      <c r="B89" s="5" t="s">
        <v>1221</v>
      </c>
      <c r="C89" s="5" t="s">
        <v>1388</v>
      </c>
      <c r="D89" s="5" t="s">
        <v>66</v>
      </c>
      <c r="E89" s="5" t="s">
        <v>9</v>
      </c>
      <c r="F89" s="9" t="s">
        <v>1389</v>
      </c>
      <c r="G89" s="9" t="s">
        <v>1390</v>
      </c>
      <c r="H89" s="9" t="s">
        <v>1391</v>
      </c>
      <c r="I89" s="9" t="s">
        <v>1392</v>
      </c>
    </row>
    <row r="90" customFormat="false" ht="39.75" hidden="false" customHeight="true" outlineLevel="0" collapsed="false">
      <c r="A90" s="5" t="s">
        <v>1308</v>
      </c>
      <c r="B90" s="5" t="s">
        <v>1221</v>
      </c>
      <c r="C90" s="5" t="s">
        <v>1393</v>
      </c>
      <c r="D90" s="5" t="s">
        <v>27</v>
      </c>
      <c r="E90" s="5" t="s">
        <v>684</v>
      </c>
      <c r="F90" s="9" t="s">
        <v>1394</v>
      </c>
      <c r="G90" s="9" t="s">
        <v>1395</v>
      </c>
      <c r="H90" s="9" t="s">
        <v>1396</v>
      </c>
      <c r="I90" s="9" t="s">
        <v>1384</v>
      </c>
    </row>
    <row r="91" customFormat="false" ht="39.75" hidden="false" customHeight="true" outlineLevel="0" collapsed="false">
      <c r="A91" s="5" t="s">
        <v>1308</v>
      </c>
      <c r="B91" s="5" t="s">
        <v>1221</v>
      </c>
      <c r="C91" s="5" t="s">
        <v>1397</v>
      </c>
      <c r="D91" s="5" t="s">
        <v>1398</v>
      </c>
      <c r="E91" s="5" t="s">
        <v>1399</v>
      </c>
      <c r="F91" s="9" t="s">
        <v>830</v>
      </c>
      <c r="G91" s="9" t="s">
        <v>1122</v>
      </c>
      <c r="H91" s="9" t="s">
        <v>1400</v>
      </c>
      <c r="I91" s="9" t="s">
        <v>1401</v>
      </c>
    </row>
    <row r="92" customFormat="false" ht="39.75" hidden="false" customHeight="true" outlineLevel="0" collapsed="false">
      <c r="A92" s="5" t="s">
        <v>1308</v>
      </c>
      <c r="B92" s="5" t="s">
        <v>1221</v>
      </c>
      <c r="C92" s="5" t="s">
        <v>1402</v>
      </c>
      <c r="D92" s="5" t="s">
        <v>110</v>
      </c>
      <c r="E92" s="5" t="s">
        <v>132</v>
      </c>
      <c r="F92" s="9" t="s">
        <v>1334</v>
      </c>
      <c r="G92" s="9" t="s">
        <v>1403</v>
      </c>
      <c r="H92" s="9" t="s">
        <v>1404</v>
      </c>
      <c r="I92" s="9" t="s">
        <v>1405</v>
      </c>
    </row>
    <row r="93" customFormat="false" ht="39.75" hidden="false" customHeight="true" outlineLevel="0" collapsed="false">
      <c r="A93" s="5" t="s">
        <v>1308</v>
      </c>
      <c r="B93" s="5" t="s">
        <v>1221</v>
      </c>
      <c r="C93" s="5" t="s">
        <v>1402</v>
      </c>
      <c r="D93" s="5" t="s">
        <v>105</v>
      </c>
      <c r="E93" s="5" t="s">
        <v>132</v>
      </c>
      <c r="F93" s="9" t="s">
        <v>1334</v>
      </c>
      <c r="G93" s="9" t="s">
        <v>1344</v>
      </c>
      <c r="H93" s="9" t="s">
        <v>1404</v>
      </c>
      <c r="I93" s="9" t="s">
        <v>1406</v>
      </c>
    </row>
    <row r="94" customFormat="false" ht="14.25" hidden="false" customHeight="true" outlineLevel="0" collapsed="false">
      <c r="A94" s="26" t="s">
        <v>1407</v>
      </c>
    </row>
    <row r="95" customFormat="false" ht="15" hidden="false" customHeight="true" outlineLevel="0" collapsed="false">
      <c r="A95" s="43" t="s">
        <v>1408</v>
      </c>
      <c r="B95" s="43"/>
      <c r="C95" s="43"/>
      <c r="D95" s="43"/>
      <c r="E95" s="43"/>
      <c r="F95" s="43"/>
      <c r="G95" s="43"/>
      <c r="H95" s="43"/>
      <c r="I95" s="43"/>
    </row>
    <row r="96" customFormat="false" ht="25.5" hidden="false" customHeight="true" outlineLevel="0" collapsed="false">
      <c r="A96" s="43" t="s">
        <v>1409</v>
      </c>
      <c r="B96" s="43"/>
      <c r="C96" s="43"/>
      <c r="D96" s="43"/>
      <c r="E96" s="43"/>
      <c r="F96" s="43"/>
      <c r="G96" s="43"/>
      <c r="H96" s="43"/>
      <c r="I96" s="43"/>
    </row>
    <row r="97" customFormat="false" ht="15" hidden="false" customHeight="true" outlineLevel="0" collapsed="false">
      <c r="A97" s="43" t="s">
        <v>1410</v>
      </c>
      <c r="B97" s="43"/>
      <c r="C97" s="43"/>
      <c r="D97" s="43"/>
      <c r="E97" s="43"/>
      <c r="F97" s="43"/>
      <c r="G97" s="43"/>
      <c r="H97" s="43"/>
      <c r="I97" s="43"/>
    </row>
    <row r="98" customFormat="false" ht="25.5" hidden="false" customHeight="true" outlineLevel="0" collapsed="false">
      <c r="A98" s="43" t="s">
        <v>1411</v>
      </c>
      <c r="B98" s="43"/>
      <c r="C98" s="43"/>
      <c r="D98" s="43"/>
      <c r="E98" s="43"/>
      <c r="F98" s="43"/>
      <c r="G98" s="43"/>
      <c r="H98" s="43"/>
      <c r="I98" s="43"/>
    </row>
    <row r="99" customFormat="false" ht="25.5" hidden="false" customHeight="true" outlineLevel="0" collapsed="false">
      <c r="A99" s="43" t="s">
        <v>1412</v>
      </c>
      <c r="B99" s="43"/>
      <c r="C99" s="43"/>
      <c r="D99" s="43"/>
      <c r="E99" s="43"/>
      <c r="F99" s="43"/>
      <c r="G99" s="43"/>
      <c r="H99" s="43"/>
      <c r="I99" s="43"/>
    </row>
    <row r="100" customFormat="false" ht="25.5" hidden="false" customHeight="true" outlineLevel="0" collapsed="false">
      <c r="A100" s="43" t="s">
        <v>1413</v>
      </c>
      <c r="B100" s="43"/>
      <c r="C100" s="43"/>
      <c r="D100" s="43"/>
      <c r="E100" s="43"/>
      <c r="F100" s="43"/>
      <c r="G100" s="43"/>
      <c r="H100" s="43"/>
      <c r="I100" s="43"/>
    </row>
    <row r="101" customFormat="false" ht="25.5" hidden="false" customHeight="true" outlineLevel="0" collapsed="false">
      <c r="A101" s="43" t="s">
        <v>1414</v>
      </c>
      <c r="B101" s="43"/>
      <c r="C101" s="43"/>
      <c r="D101" s="43"/>
      <c r="E101" s="43"/>
      <c r="F101" s="43"/>
      <c r="G101" s="43"/>
      <c r="H101" s="43"/>
      <c r="I101" s="43"/>
    </row>
    <row r="102" customFormat="false" ht="51.75" hidden="false" customHeight="true" outlineLevel="0" collapsed="false">
      <c r="A102" s="43" t="s">
        <v>1415</v>
      </c>
      <c r="B102" s="43"/>
      <c r="C102" s="43"/>
      <c r="D102" s="43"/>
      <c r="E102" s="43"/>
      <c r="F102" s="43"/>
      <c r="G102" s="43"/>
      <c r="H102" s="43"/>
      <c r="I102" s="43"/>
    </row>
    <row r="103" customFormat="false" ht="51.75" hidden="false" customHeight="true" outlineLevel="0" collapsed="false">
      <c r="A103" s="43" t="s">
        <v>1416</v>
      </c>
      <c r="B103" s="43"/>
      <c r="C103" s="43"/>
      <c r="D103" s="43"/>
      <c r="E103" s="43"/>
      <c r="F103" s="43"/>
      <c r="G103" s="43"/>
      <c r="H103" s="43"/>
      <c r="I103" s="43"/>
    </row>
    <row r="104" customFormat="false" ht="25.5" hidden="false" customHeight="true" outlineLevel="0" collapsed="false">
      <c r="A104" s="43" t="s">
        <v>1417</v>
      </c>
      <c r="B104" s="43"/>
      <c r="C104" s="43"/>
      <c r="D104" s="43"/>
      <c r="E104" s="43"/>
      <c r="F104" s="43"/>
      <c r="G104" s="43"/>
      <c r="H104" s="43"/>
      <c r="I104" s="43"/>
    </row>
    <row r="105" customFormat="false" ht="39" hidden="false" customHeight="true" outlineLevel="0" collapsed="false">
      <c r="A105" s="43" t="s">
        <v>1418</v>
      </c>
      <c r="B105" s="43"/>
      <c r="C105" s="43"/>
      <c r="D105" s="43"/>
      <c r="E105" s="43"/>
      <c r="F105" s="43"/>
      <c r="G105" s="43"/>
      <c r="H105" s="43"/>
      <c r="I105" s="43"/>
    </row>
    <row r="106" customFormat="false" ht="25.5" hidden="false" customHeight="true" outlineLevel="0" collapsed="false">
      <c r="A106" s="43" t="s">
        <v>1419</v>
      </c>
      <c r="B106" s="43"/>
      <c r="C106" s="43"/>
      <c r="D106" s="43"/>
      <c r="E106" s="43"/>
      <c r="F106" s="43"/>
      <c r="G106" s="43"/>
      <c r="H106" s="43"/>
      <c r="I106" s="43"/>
    </row>
    <row r="107" customFormat="false" ht="25.5" hidden="false" customHeight="true" outlineLevel="0" collapsed="false">
      <c r="A107" s="43" t="s">
        <v>1420</v>
      </c>
      <c r="B107" s="43"/>
      <c r="C107" s="43"/>
      <c r="D107" s="43"/>
      <c r="E107" s="43"/>
      <c r="F107" s="43"/>
      <c r="G107" s="43"/>
      <c r="H107" s="43"/>
      <c r="I107" s="43"/>
    </row>
    <row r="108" customFormat="false" ht="25.5" hidden="false" customHeight="true" outlineLevel="0" collapsed="false">
      <c r="A108" s="43" t="s">
        <v>1421</v>
      </c>
      <c r="B108" s="43"/>
      <c r="C108" s="43"/>
      <c r="D108" s="43"/>
      <c r="E108" s="43"/>
      <c r="F108" s="43"/>
      <c r="G108" s="43"/>
      <c r="H108" s="43"/>
      <c r="I108" s="43"/>
    </row>
    <row r="109" customFormat="false" ht="25.5" hidden="false" customHeight="true" outlineLevel="0" collapsed="false">
      <c r="A109" s="43" t="s">
        <v>1422</v>
      </c>
      <c r="B109" s="43"/>
      <c r="C109" s="43"/>
      <c r="D109" s="43"/>
      <c r="E109" s="43"/>
      <c r="F109" s="43"/>
      <c r="G109" s="43"/>
      <c r="H109" s="43"/>
      <c r="I109" s="43"/>
    </row>
    <row r="110" customFormat="false" ht="25.5" hidden="false" customHeight="true" outlineLevel="0" collapsed="false">
      <c r="A110" s="43" t="s">
        <v>1423</v>
      </c>
      <c r="B110" s="43"/>
      <c r="C110" s="43"/>
      <c r="D110" s="43"/>
      <c r="E110" s="43"/>
      <c r="F110" s="43"/>
      <c r="G110" s="43"/>
      <c r="H110" s="43"/>
      <c r="I110" s="43"/>
    </row>
    <row r="111" customFormat="false" ht="51.75" hidden="false" customHeight="true" outlineLevel="0" collapsed="false">
      <c r="A111" s="43" t="s">
        <v>1424</v>
      </c>
      <c r="B111" s="43"/>
      <c r="C111" s="43"/>
      <c r="D111" s="43"/>
      <c r="E111" s="43"/>
      <c r="F111" s="43"/>
      <c r="G111" s="43"/>
      <c r="H111" s="43"/>
      <c r="I111" s="43"/>
    </row>
    <row r="112" customFormat="false" ht="25.5" hidden="false" customHeight="true" outlineLevel="0" collapsed="false">
      <c r="A112" s="43" t="s">
        <v>1425</v>
      </c>
      <c r="B112" s="43"/>
      <c r="C112" s="43"/>
      <c r="D112" s="43"/>
      <c r="E112" s="43"/>
      <c r="F112" s="43"/>
      <c r="G112" s="43"/>
      <c r="H112" s="43"/>
      <c r="I112" s="43"/>
    </row>
    <row r="113" customFormat="false" ht="25.5" hidden="false" customHeight="true" outlineLevel="0" collapsed="false">
      <c r="A113" s="43" t="s">
        <v>1426</v>
      </c>
      <c r="B113" s="43"/>
      <c r="C113" s="43"/>
      <c r="D113" s="43"/>
      <c r="E113" s="43"/>
      <c r="F113" s="43"/>
      <c r="G113" s="43"/>
      <c r="H113" s="43"/>
      <c r="I113" s="43"/>
    </row>
    <row r="114" customFormat="false" ht="51.75" hidden="false" customHeight="true" outlineLevel="0" collapsed="false">
      <c r="A114" s="43" t="s">
        <v>1427</v>
      </c>
      <c r="B114" s="43"/>
      <c r="C114" s="43"/>
      <c r="D114" s="43"/>
      <c r="E114" s="43"/>
      <c r="F114" s="43"/>
      <c r="G114" s="43"/>
      <c r="H114" s="43"/>
      <c r="I114" s="43"/>
    </row>
    <row r="115" customFormat="false" ht="39" hidden="false" customHeight="true" outlineLevel="0" collapsed="false">
      <c r="A115" s="43" t="s">
        <v>1428</v>
      </c>
      <c r="B115" s="43"/>
      <c r="C115" s="43"/>
      <c r="D115" s="43"/>
      <c r="E115" s="43"/>
      <c r="F115" s="43"/>
      <c r="G115" s="43"/>
      <c r="H115" s="43"/>
      <c r="I115" s="43"/>
    </row>
    <row r="116" customFormat="false" ht="15" hidden="false" customHeight="true" outlineLevel="0" collapsed="false">
      <c r="A116" s="43" t="s">
        <v>1429</v>
      </c>
      <c r="B116" s="43"/>
      <c r="C116" s="43"/>
      <c r="D116" s="43"/>
      <c r="E116" s="43"/>
      <c r="F116" s="43"/>
      <c r="G116" s="43"/>
      <c r="H116" s="43"/>
      <c r="I116" s="43"/>
    </row>
    <row r="117" customFormat="false" ht="15" hidden="false" customHeight="true" outlineLevel="0" collapsed="false">
      <c r="A117" s="43" t="s">
        <v>1430</v>
      </c>
      <c r="B117" s="43"/>
      <c r="C117" s="43"/>
      <c r="D117" s="43"/>
      <c r="E117" s="43"/>
      <c r="F117" s="43"/>
      <c r="G117" s="43"/>
      <c r="H117" s="43"/>
      <c r="I117" s="43"/>
    </row>
    <row r="118" customFormat="false" ht="15" hidden="false" customHeight="true" outlineLevel="0" collapsed="false">
      <c r="A118" s="43" t="s">
        <v>1431</v>
      </c>
      <c r="B118" s="43"/>
      <c r="C118" s="43"/>
      <c r="D118" s="43"/>
      <c r="E118" s="43"/>
      <c r="F118" s="43"/>
      <c r="G118" s="43"/>
      <c r="H118" s="43"/>
      <c r="I118" s="43"/>
    </row>
    <row r="119" customFormat="false" ht="15" hidden="false" customHeight="true" outlineLevel="0" collapsed="false">
      <c r="A119" s="43" t="s">
        <v>1432</v>
      </c>
      <c r="B119" s="43"/>
      <c r="C119" s="43"/>
      <c r="D119" s="43"/>
      <c r="E119" s="43"/>
      <c r="F119" s="43"/>
      <c r="G119" s="43"/>
      <c r="H119" s="43"/>
      <c r="I119" s="43"/>
    </row>
    <row r="120" customFormat="false" ht="15" hidden="false" customHeight="true" outlineLevel="0" collapsed="false">
      <c r="A120" s="43" t="s">
        <v>1433</v>
      </c>
      <c r="B120" s="43"/>
      <c r="C120" s="43"/>
      <c r="D120" s="43"/>
      <c r="E120" s="43"/>
      <c r="F120" s="43"/>
      <c r="G120" s="43"/>
      <c r="H120" s="43"/>
      <c r="I120" s="43"/>
    </row>
    <row r="121" customFormat="false" ht="15" hidden="false" customHeight="true" outlineLevel="0" collapsed="false">
      <c r="A121" s="43" t="s">
        <v>1434</v>
      </c>
      <c r="B121" s="43"/>
      <c r="C121" s="43"/>
      <c r="D121" s="43"/>
      <c r="E121" s="43"/>
      <c r="F121" s="43"/>
      <c r="G121" s="43"/>
      <c r="H121" s="43"/>
      <c r="I121" s="43"/>
    </row>
    <row r="122" customFormat="false" ht="25.5" hidden="false" customHeight="true" outlineLevel="0" collapsed="false">
      <c r="A122" s="43" t="s">
        <v>1435</v>
      </c>
      <c r="B122" s="43"/>
      <c r="C122" s="43"/>
      <c r="D122" s="43"/>
      <c r="E122" s="43"/>
      <c r="F122" s="43"/>
      <c r="G122" s="43"/>
      <c r="H122" s="43"/>
      <c r="I122" s="43"/>
    </row>
    <row r="123" customFormat="false" ht="25.5" hidden="false" customHeight="true" outlineLevel="0" collapsed="false">
      <c r="A123" s="43" t="s">
        <v>1436</v>
      </c>
      <c r="B123" s="43"/>
      <c r="C123" s="43"/>
      <c r="D123" s="43"/>
      <c r="E123" s="43"/>
      <c r="F123" s="43"/>
      <c r="G123" s="43"/>
      <c r="H123" s="43"/>
      <c r="I123" s="43"/>
    </row>
    <row r="124" customFormat="false" ht="15" hidden="false" customHeight="true" outlineLevel="0" collapsed="false">
      <c r="A124" s="43" t="s">
        <v>1437</v>
      </c>
      <c r="B124" s="43"/>
      <c r="C124" s="43"/>
      <c r="D124" s="43"/>
      <c r="E124" s="43"/>
      <c r="F124" s="43"/>
      <c r="G124" s="43"/>
      <c r="H124" s="43"/>
      <c r="I124" s="43"/>
    </row>
    <row r="125" customFormat="false" ht="39" hidden="false" customHeight="true" outlineLevel="0" collapsed="false">
      <c r="A125" s="43" t="s">
        <v>1438</v>
      </c>
      <c r="B125" s="43"/>
      <c r="C125" s="43"/>
      <c r="D125" s="43"/>
      <c r="E125" s="43"/>
      <c r="F125" s="43"/>
      <c r="G125" s="43"/>
      <c r="H125" s="43"/>
      <c r="I125" s="43"/>
    </row>
    <row r="126" customFormat="false" ht="25.5" hidden="false" customHeight="true" outlineLevel="0" collapsed="false">
      <c r="A126" s="43" t="s">
        <v>1439</v>
      </c>
      <c r="B126" s="43"/>
      <c r="C126" s="43"/>
      <c r="D126" s="43"/>
      <c r="E126" s="43"/>
      <c r="F126" s="43"/>
      <c r="G126" s="43"/>
      <c r="H126" s="43"/>
      <c r="I126" s="43"/>
    </row>
    <row r="127" customFormat="false" ht="25.5" hidden="false" customHeight="true" outlineLevel="0" collapsed="false">
      <c r="A127" s="43" t="s">
        <v>1440</v>
      </c>
      <c r="B127" s="43"/>
      <c r="C127" s="43"/>
      <c r="D127" s="43"/>
      <c r="E127" s="43"/>
      <c r="F127" s="43"/>
      <c r="G127" s="43"/>
      <c r="H127" s="43"/>
      <c r="I127" s="43"/>
    </row>
    <row r="128" customFormat="false" ht="15" hidden="false" customHeight="true" outlineLevel="0" collapsed="false">
      <c r="A128" s="43" t="s">
        <v>1441</v>
      </c>
      <c r="B128" s="43"/>
      <c r="C128" s="43"/>
      <c r="D128" s="43"/>
      <c r="E128" s="43"/>
      <c r="F128" s="43"/>
      <c r="G128" s="43"/>
      <c r="H128" s="43"/>
      <c r="I128" s="43"/>
    </row>
    <row r="129" customFormat="false" ht="25.5" hidden="false" customHeight="true" outlineLevel="0" collapsed="false">
      <c r="A129" s="43" t="s">
        <v>1442</v>
      </c>
      <c r="B129" s="43"/>
      <c r="C129" s="43"/>
      <c r="D129" s="43"/>
      <c r="E129" s="43"/>
      <c r="F129" s="43"/>
      <c r="G129" s="43"/>
      <c r="H129" s="43"/>
      <c r="I129" s="43"/>
    </row>
    <row r="130" customFormat="false" ht="15" hidden="false" customHeight="true" outlineLevel="0" collapsed="false">
      <c r="A130" s="43" t="s">
        <v>1443</v>
      </c>
      <c r="B130" s="43"/>
      <c r="C130" s="43"/>
      <c r="D130" s="43"/>
      <c r="E130" s="43"/>
      <c r="F130" s="43"/>
      <c r="G130" s="43"/>
      <c r="H130" s="43"/>
      <c r="I130" s="43"/>
    </row>
    <row r="131" customFormat="false" ht="15" hidden="false" customHeight="true" outlineLevel="0" collapsed="false">
      <c r="A131" s="43" t="s">
        <v>1444</v>
      </c>
      <c r="B131" s="43"/>
      <c r="C131" s="43"/>
      <c r="D131" s="43"/>
      <c r="E131" s="43"/>
      <c r="F131" s="43"/>
      <c r="G131" s="43"/>
      <c r="H131" s="43"/>
      <c r="I131" s="43"/>
    </row>
    <row r="132" customFormat="false" ht="25.5" hidden="false" customHeight="true" outlineLevel="0" collapsed="false">
      <c r="A132" s="43" t="s">
        <v>1445</v>
      </c>
      <c r="B132" s="43"/>
      <c r="C132" s="43"/>
      <c r="D132" s="43"/>
      <c r="E132" s="43"/>
      <c r="F132" s="43"/>
      <c r="G132" s="43"/>
      <c r="H132" s="43"/>
      <c r="I132" s="43"/>
    </row>
    <row r="133" customFormat="false" ht="25.5" hidden="false" customHeight="true" outlineLevel="0" collapsed="false">
      <c r="A133" s="43" t="s">
        <v>1446</v>
      </c>
      <c r="B133" s="43"/>
      <c r="C133" s="43"/>
      <c r="D133" s="43"/>
      <c r="E133" s="43"/>
      <c r="F133" s="43"/>
      <c r="G133" s="43"/>
      <c r="H133" s="43"/>
      <c r="I133" s="43"/>
    </row>
    <row r="134" customFormat="false" ht="15" hidden="false" customHeight="true" outlineLevel="0" collapsed="false">
      <c r="A134" s="43" t="s">
        <v>1447</v>
      </c>
      <c r="B134" s="43"/>
      <c r="C134" s="43"/>
      <c r="D134" s="43"/>
      <c r="E134" s="43"/>
      <c r="F134" s="43"/>
      <c r="G134" s="43"/>
      <c r="H134" s="43"/>
      <c r="I134" s="43"/>
    </row>
    <row r="135" customFormat="false" ht="15" hidden="false" customHeight="true" outlineLevel="0" collapsed="false">
      <c r="A135" s="43" t="s">
        <v>1448</v>
      </c>
      <c r="B135" s="43"/>
      <c r="C135" s="43"/>
      <c r="D135" s="43"/>
      <c r="E135" s="43"/>
      <c r="F135" s="43"/>
      <c r="G135" s="43"/>
      <c r="H135" s="43"/>
      <c r="I135" s="43"/>
    </row>
    <row r="136" customFormat="false" ht="25.5" hidden="false" customHeight="true" outlineLevel="0" collapsed="false">
      <c r="A136" s="43" t="s">
        <v>1449</v>
      </c>
      <c r="B136" s="43"/>
      <c r="C136" s="43"/>
      <c r="D136" s="43"/>
      <c r="E136" s="43"/>
      <c r="F136" s="43"/>
      <c r="G136" s="43"/>
      <c r="H136" s="43"/>
      <c r="I136" s="43"/>
    </row>
    <row r="137" customFormat="false" ht="15" hidden="false" customHeight="true" outlineLevel="0" collapsed="false">
      <c r="A137" s="43" t="s">
        <v>1450</v>
      </c>
      <c r="B137" s="43"/>
      <c r="C137" s="43"/>
      <c r="D137" s="43"/>
      <c r="E137" s="43"/>
      <c r="F137" s="43"/>
      <c r="G137" s="43"/>
      <c r="H137" s="43"/>
      <c r="I137" s="43"/>
    </row>
    <row r="138" customFormat="false" ht="39" hidden="false" customHeight="true" outlineLevel="0" collapsed="false">
      <c r="A138" s="43" t="s">
        <v>1451</v>
      </c>
      <c r="B138" s="43"/>
      <c r="C138" s="43"/>
      <c r="D138" s="43"/>
      <c r="E138" s="43"/>
      <c r="F138" s="43"/>
      <c r="G138" s="43"/>
      <c r="H138" s="43"/>
      <c r="I138" s="43"/>
    </row>
    <row r="139" customFormat="false" ht="15" hidden="false" customHeight="true" outlineLevel="0" collapsed="false">
      <c r="A139" s="43" t="s">
        <v>1452</v>
      </c>
      <c r="B139" s="43"/>
      <c r="C139" s="43"/>
      <c r="D139" s="43"/>
      <c r="E139" s="43"/>
      <c r="F139" s="43"/>
      <c r="G139" s="43"/>
      <c r="H139" s="43"/>
      <c r="I139" s="43"/>
    </row>
    <row r="140" customFormat="false" ht="25.5" hidden="false" customHeight="true" outlineLevel="0" collapsed="false">
      <c r="A140" s="43" t="s">
        <v>1453</v>
      </c>
      <c r="B140" s="43"/>
      <c r="C140" s="43"/>
      <c r="D140" s="43"/>
      <c r="E140" s="43"/>
      <c r="F140" s="43"/>
      <c r="G140" s="43"/>
      <c r="H140" s="43"/>
      <c r="I140" s="43"/>
    </row>
    <row r="141" customFormat="false" ht="25.5" hidden="false" customHeight="true" outlineLevel="0" collapsed="false">
      <c r="A141" s="43" t="s">
        <v>1454</v>
      </c>
      <c r="B141" s="43"/>
      <c r="C141" s="43"/>
      <c r="D141" s="43"/>
      <c r="E141" s="43"/>
      <c r="F141" s="43"/>
      <c r="G141" s="43"/>
      <c r="H141" s="43"/>
      <c r="I141" s="43"/>
    </row>
    <row r="142" customFormat="false" ht="15" hidden="false" customHeight="true" outlineLevel="0" collapsed="false">
      <c r="A142" s="43" t="s">
        <v>1455</v>
      </c>
      <c r="B142" s="43"/>
      <c r="C142" s="43"/>
      <c r="D142" s="43"/>
      <c r="E142" s="43"/>
      <c r="F142" s="43"/>
      <c r="G142" s="43"/>
      <c r="H142" s="43"/>
      <c r="I142" s="43"/>
    </row>
    <row r="143" customFormat="false" ht="15" hidden="false" customHeight="true" outlineLevel="0" collapsed="false">
      <c r="A143" s="43" t="s">
        <v>1456</v>
      </c>
      <c r="B143" s="43"/>
      <c r="C143" s="43"/>
      <c r="D143" s="43"/>
      <c r="E143" s="43"/>
      <c r="F143" s="43"/>
      <c r="G143" s="43"/>
      <c r="H143" s="43"/>
      <c r="I143" s="43"/>
    </row>
    <row r="144" customFormat="false" ht="25.5" hidden="false" customHeight="true" outlineLevel="0" collapsed="false">
      <c r="A144" s="43" t="s">
        <v>1457</v>
      </c>
      <c r="B144" s="43"/>
      <c r="C144" s="43"/>
      <c r="D144" s="43"/>
      <c r="E144" s="43"/>
      <c r="F144" s="43"/>
      <c r="G144" s="43"/>
      <c r="H144" s="43"/>
      <c r="I144" s="43"/>
    </row>
    <row r="145" customFormat="false" ht="15" hidden="false" customHeight="true" outlineLevel="0" collapsed="false">
      <c r="A145" s="43" t="s">
        <v>1458</v>
      </c>
      <c r="B145" s="43"/>
      <c r="C145" s="43"/>
      <c r="D145" s="43"/>
      <c r="E145" s="43"/>
      <c r="F145" s="43"/>
      <c r="G145" s="43"/>
      <c r="H145" s="43"/>
      <c r="I145" s="43"/>
    </row>
    <row r="146" customFormat="false" ht="15" hidden="false" customHeight="true" outlineLevel="0" collapsed="false">
      <c r="A146" s="43" t="s">
        <v>1459</v>
      </c>
      <c r="B146" s="43"/>
      <c r="C146" s="43"/>
      <c r="D146" s="43"/>
      <c r="E146" s="43"/>
      <c r="F146" s="43"/>
      <c r="G146" s="43"/>
      <c r="H146" s="43"/>
      <c r="I146" s="43"/>
    </row>
    <row r="147" customFormat="false" ht="15" hidden="false" customHeight="true" outlineLevel="0" collapsed="false">
      <c r="A147" s="43" t="s">
        <v>1460</v>
      </c>
      <c r="B147" s="43"/>
      <c r="C147" s="43"/>
      <c r="D147" s="43"/>
      <c r="E147" s="43"/>
      <c r="F147" s="43"/>
      <c r="G147" s="43"/>
      <c r="H147" s="43"/>
      <c r="I147" s="43"/>
    </row>
    <row r="148" customFormat="false" ht="15" hidden="false" customHeight="true" outlineLevel="0" collapsed="false">
      <c r="A148" s="43" t="s">
        <v>1461</v>
      </c>
      <c r="B148" s="43"/>
      <c r="C148" s="43"/>
      <c r="D148" s="43"/>
      <c r="E148" s="43"/>
      <c r="F148" s="43"/>
      <c r="G148" s="43"/>
      <c r="H148" s="43"/>
      <c r="I148" s="43"/>
    </row>
    <row r="149" customFormat="false" ht="15" hidden="false" customHeight="true" outlineLevel="0" collapsed="false">
      <c r="A149" s="43" t="s">
        <v>1462</v>
      </c>
      <c r="B149" s="43"/>
      <c r="C149" s="43"/>
      <c r="D149" s="43"/>
      <c r="E149" s="43"/>
      <c r="F149" s="43"/>
      <c r="G149" s="43"/>
      <c r="H149" s="43"/>
      <c r="I149" s="43"/>
    </row>
    <row r="150" customFormat="false" ht="15" hidden="false" customHeight="true" outlineLevel="0" collapsed="false">
      <c r="A150" s="43" t="s">
        <v>1463</v>
      </c>
      <c r="B150" s="43"/>
      <c r="C150" s="43"/>
      <c r="D150" s="43"/>
      <c r="E150" s="43"/>
      <c r="F150" s="43"/>
      <c r="G150" s="43"/>
      <c r="H150" s="43"/>
      <c r="I150" s="43"/>
    </row>
    <row r="151" customFormat="false" ht="15" hidden="false" customHeight="true" outlineLevel="0" collapsed="false">
      <c r="A151" s="43" t="s">
        <v>1464</v>
      </c>
      <c r="B151" s="43"/>
      <c r="C151" s="43"/>
      <c r="D151" s="43"/>
      <c r="E151" s="43"/>
      <c r="F151" s="43"/>
      <c r="G151" s="43"/>
      <c r="H151" s="43"/>
      <c r="I151" s="43"/>
    </row>
    <row r="152" customFormat="false" ht="15" hidden="false" customHeight="true" outlineLevel="0" collapsed="false">
      <c r="A152" s="43" t="s">
        <v>1465</v>
      </c>
      <c r="B152" s="43"/>
      <c r="C152" s="43"/>
      <c r="D152" s="43"/>
      <c r="E152" s="43"/>
      <c r="F152" s="43"/>
      <c r="G152" s="43"/>
      <c r="H152" s="43"/>
      <c r="I152" s="43"/>
    </row>
    <row r="153" customFormat="false" ht="15" hidden="false" customHeight="true" outlineLevel="0" collapsed="false">
      <c r="A153" s="43" t="s">
        <v>1466</v>
      </c>
      <c r="B153" s="43"/>
      <c r="C153" s="43"/>
      <c r="D153" s="43"/>
      <c r="E153" s="43"/>
      <c r="F153" s="43"/>
      <c r="G153" s="43"/>
      <c r="H153" s="43"/>
      <c r="I153" s="43"/>
    </row>
    <row r="154" customFormat="false" ht="15" hidden="false" customHeight="true" outlineLevel="0" collapsed="false">
      <c r="A154" s="43" t="s">
        <v>1467</v>
      </c>
      <c r="B154" s="43"/>
      <c r="C154" s="43"/>
      <c r="D154" s="43"/>
      <c r="E154" s="43"/>
      <c r="F154" s="43"/>
      <c r="G154" s="43"/>
      <c r="H154" s="43"/>
      <c r="I154" s="43"/>
    </row>
    <row r="155" customFormat="false" ht="15" hidden="false" customHeight="true" outlineLevel="0" collapsed="false">
      <c r="A155" s="43" t="s">
        <v>1468</v>
      </c>
      <c r="B155" s="43"/>
      <c r="C155" s="43"/>
      <c r="D155" s="43"/>
      <c r="E155" s="43"/>
      <c r="F155" s="43"/>
      <c r="G155" s="43"/>
      <c r="H155" s="43"/>
      <c r="I155" s="43"/>
    </row>
    <row r="156" customFormat="false" ht="39" hidden="false" customHeight="true" outlineLevel="0" collapsed="false">
      <c r="A156" s="43" t="s">
        <v>1469</v>
      </c>
      <c r="B156" s="43"/>
      <c r="C156" s="43"/>
      <c r="D156" s="43"/>
      <c r="E156" s="43"/>
      <c r="F156" s="43"/>
      <c r="G156" s="43"/>
      <c r="H156" s="43"/>
      <c r="I156" s="43"/>
    </row>
    <row r="157" customFormat="false" ht="25.5" hidden="false" customHeight="true" outlineLevel="0" collapsed="false">
      <c r="A157" s="43" t="s">
        <v>1470</v>
      </c>
      <c r="B157" s="43"/>
      <c r="C157" s="43"/>
      <c r="D157" s="43"/>
      <c r="E157" s="43"/>
      <c r="F157" s="43"/>
      <c r="G157" s="43"/>
      <c r="H157" s="43"/>
      <c r="I157" s="43"/>
    </row>
    <row r="158" customFormat="false" ht="25.5" hidden="false" customHeight="true" outlineLevel="0" collapsed="false">
      <c r="A158" s="43" t="s">
        <v>1471</v>
      </c>
      <c r="B158" s="43"/>
      <c r="C158" s="43"/>
      <c r="D158" s="43"/>
      <c r="E158" s="43"/>
      <c r="F158" s="43"/>
      <c r="G158" s="43"/>
      <c r="H158" s="43"/>
      <c r="I158" s="43"/>
    </row>
    <row r="159" customFormat="false" ht="15" hidden="false" customHeight="true" outlineLevel="0" collapsed="false">
      <c r="A159" s="43" t="s">
        <v>1472</v>
      </c>
      <c r="B159" s="43"/>
      <c r="C159" s="43"/>
      <c r="D159" s="43"/>
      <c r="E159" s="43"/>
      <c r="F159" s="43"/>
      <c r="G159" s="43"/>
      <c r="H159" s="43"/>
      <c r="I159" s="43"/>
    </row>
    <row r="160" customFormat="false" ht="15" hidden="false" customHeight="true" outlineLevel="0" collapsed="false">
      <c r="A160" s="43" t="s">
        <v>1473</v>
      </c>
      <c r="B160" s="43"/>
      <c r="C160" s="43"/>
      <c r="D160" s="43"/>
      <c r="E160" s="43"/>
      <c r="F160" s="43"/>
      <c r="G160" s="43"/>
      <c r="H160" s="43"/>
      <c r="I160" s="43"/>
    </row>
    <row r="161" customFormat="false" ht="15" hidden="false" customHeight="true" outlineLevel="0" collapsed="false">
      <c r="A161" s="43" t="s">
        <v>1474</v>
      </c>
      <c r="B161" s="43"/>
      <c r="C161" s="43"/>
      <c r="D161" s="43"/>
      <c r="E161" s="43"/>
      <c r="F161" s="43"/>
      <c r="G161" s="43"/>
      <c r="H161" s="43"/>
      <c r="I161" s="43"/>
    </row>
    <row r="162" customFormat="false" ht="39" hidden="false" customHeight="true" outlineLevel="0" collapsed="false">
      <c r="A162" s="43" t="s">
        <v>1475</v>
      </c>
      <c r="B162" s="43"/>
      <c r="C162" s="43"/>
      <c r="D162" s="43"/>
      <c r="E162" s="43"/>
      <c r="F162" s="43"/>
      <c r="G162" s="43"/>
      <c r="H162" s="43"/>
      <c r="I162" s="43"/>
    </row>
    <row r="163" customFormat="false" ht="15" hidden="false" customHeight="true" outlineLevel="0" collapsed="false">
      <c r="A163" s="43" t="s">
        <v>1476</v>
      </c>
      <c r="B163" s="43"/>
      <c r="C163" s="43"/>
      <c r="D163" s="43"/>
      <c r="E163" s="43"/>
      <c r="F163" s="43"/>
      <c r="G163" s="43"/>
      <c r="H163" s="43"/>
      <c r="I163" s="43"/>
    </row>
    <row r="164" customFormat="false" ht="15" hidden="false" customHeight="true" outlineLevel="0" collapsed="false">
      <c r="A164" s="43" t="s">
        <v>1477</v>
      </c>
      <c r="B164" s="43"/>
      <c r="C164" s="43"/>
      <c r="D164" s="43"/>
      <c r="E164" s="43"/>
      <c r="F164" s="43"/>
      <c r="G164" s="43"/>
      <c r="H164" s="43"/>
      <c r="I164" s="43"/>
    </row>
    <row r="165" customFormat="false" ht="15" hidden="false" customHeight="true" outlineLevel="0" collapsed="false">
      <c r="A165" s="43" t="s">
        <v>1478</v>
      </c>
      <c r="B165" s="43"/>
      <c r="C165" s="43"/>
      <c r="D165" s="43"/>
      <c r="E165" s="43"/>
      <c r="F165" s="43"/>
      <c r="G165" s="43"/>
      <c r="H165" s="43"/>
      <c r="I165" s="43"/>
    </row>
    <row r="166" customFormat="false" ht="15" hidden="false" customHeight="true" outlineLevel="0" collapsed="false">
      <c r="A166" s="43" t="s">
        <v>1479</v>
      </c>
      <c r="B166" s="43"/>
      <c r="C166" s="43"/>
      <c r="D166" s="43"/>
      <c r="E166" s="43"/>
      <c r="F166" s="43"/>
      <c r="G166" s="43"/>
      <c r="H166" s="43"/>
      <c r="I166" s="43"/>
    </row>
    <row r="167" customFormat="false" ht="15" hidden="false" customHeight="true" outlineLevel="0" collapsed="false">
      <c r="A167" s="43" t="s">
        <v>1480</v>
      </c>
      <c r="B167" s="43"/>
      <c r="C167" s="43"/>
      <c r="D167" s="43"/>
      <c r="E167" s="43"/>
      <c r="F167" s="43"/>
      <c r="G167" s="43"/>
      <c r="H167" s="43"/>
      <c r="I167" s="43"/>
    </row>
    <row r="168" customFormat="false" ht="15" hidden="false" customHeight="true" outlineLevel="0" collapsed="false">
      <c r="A168" s="43" t="s">
        <v>1481</v>
      </c>
      <c r="B168" s="43"/>
      <c r="C168" s="43"/>
      <c r="D168" s="43"/>
      <c r="E168" s="43"/>
      <c r="F168" s="43"/>
      <c r="G168" s="43"/>
      <c r="H168" s="43"/>
      <c r="I168" s="43"/>
    </row>
    <row r="169" customFormat="false" ht="39" hidden="false" customHeight="true" outlineLevel="0" collapsed="false">
      <c r="A169" s="43" t="s">
        <v>1482</v>
      </c>
      <c r="B169" s="43"/>
      <c r="C169" s="43"/>
      <c r="D169" s="43"/>
      <c r="E169" s="43"/>
      <c r="F169" s="43"/>
      <c r="G169" s="43"/>
      <c r="H169" s="43"/>
      <c r="I169" s="43"/>
    </row>
    <row r="170" customFormat="false" ht="25.5" hidden="false" customHeight="true" outlineLevel="0" collapsed="false">
      <c r="A170" s="43" t="s">
        <v>1483</v>
      </c>
      <c r="B170" s="43"/>
      <c r="C170" s="43"/>
      <c r="D170" s="43"/>
      <c r="E170" s="43"/>
      <c r="F170" s="43"/>
      <c r="G170" s="43"/>
      <c r="H170" s="43"/>
      <c r="I170" s="43"/>
    </row>
    <row r="171" customFormat="false" ht="25.5" hidden="false" customHeight="true" outlineLevel="0" collapsed="false">
      <c r="A171" s="43" t="s">
        <v>1484</v>
      </c>
      <c r="B171" s="43"/>
      <c r="C171" s="43"/>
      <c r="D171" s="43"/>
      <c r="E171" s="43"/>
      <c r="F171" s="43"/>
      <c r="G171" s="43"/>
      <c r="H171" s="43"/>
      <c r="I171" s="43"/>
    </row>
    <row r="172" customFormat="false" ht="25.5" hidden="false" customHeight="true" outlineLevel="0" collapsed="false">
      <c r="A172" s="43" t="s">
        <v>1485</v>
      </c>
      <c r="B172" s="43"/>
      <c r="C172" s="43"/>
      <c r="D172" s="43"/>
      <c r="E172" s="43"/>
      <c r="F172" s="43"/>
      <c r="G172" s="43"/>
      <c r="H172" s="43"/>
      <c r="I172" s="43"/>
    </row>
    <row r="173" customFormat="false" ht="25.5" hidden="false" customHeight="true" outlineLevel="0" collapsed="false">
      <c r="A173" s="43" t="s">
        <v>1486</v>
      </c>
      <c r="B173" s="43"/>
      <c r="C173" s="43"/>
      <c r="D173" s="43"/>
      <c r="E173" s="43"/>
      <c r="F173" s="43"/>
      <c r="G173" s="43"/>
      <c r="H173" s="43"/>
      <c r="I173" s="43"/>
    </row>
    <row r="174" customFormat="false" ht="25.5" hidden="false" customHeight="true" outlineLevel="0" collapsed="false">
      <c r="A174" s="43" t="s">
        <v>1487</v>
      </c>
      <c r="B174" s="43"/>
      <c r="C174" s="43"/>
      <c r="D174" s="43"/>
      <c r="E174" s="43"/>
      <c r="F174" s="43"/>
      <c r="G174" s="43"/>
      <c r="H174" s="43"/>
      <c r="I174" s="43"/>
    </row>
    <row r="175" customFormat="false" ht="25.5" hidden="false" customHeight="true" outlineLevel="0" collapsed="false">
      <c r="A175" s="43" t="s">
        <v>1488</v>
      </c>
      <c r="B175" s="43"/>
      <c r="C175" s="43"/>
      <c r="D175" s="43"/>
      <c r="E175" s="43"/>
      <c r="F175" s="43"/>
      <c r="G175" s="43"/>
      <c r="H175" s="43"/>
      <c r="I175" s="43"/>
    </row>
    <row r="176" customFormat="false" ht="15" hidden="false" customHeight="true" outlineLevel="0" collapsed="false">
      <c r="A176" s="43" t="s">
        <v>1489</v>
      </c>
      <c r="B176" s="43"/>
      <c r="C176" s="43"/>
      <c r="D176" s="43"/>
      <c r="E176" s="43"/>
      <c r="F176" s="43"/>
      <c r="G176" s="43"/>
      <c r="H176" s="43"/>
      <c r="I176" s="43"/>
    </row>
    <row r="177" customFormat="false" ht="15" hidden="false" customHeight="true" outlineLevel="0" collapsed="false">
      <c r="A177" s="43" t="s">
        <v>1490</v>
      </c>
      <c r="B177" s="43"/>
      <c r="C177" s="43"/>
      <c r="D177" s="43"/>
      <c r="E177" s="43"/>
      <c r="F177" s="43"/>
      <c r="G177" s="43"/>
      <c r="H177" s="43"/>
      <c r="I177" s="43"/>
    </row>
    <row r="178" customFormat="false" ht="39" hidden="false" customHeight="true" outlineLevel="0" collapsed="false">
      <c r="A178" s="43" t="s">
        <v>1491</v>
      </c>
      <c r="B178" s="43"/>
      <c r="C178" s="43"/>
      <c r="D178" s="43"/>
      <c r="E178" s="43"/>
      <c r="F178" s="43"/>
      <c r="G178" s="43"/>
      <c r="H178" s="43"/>
      <c r="I178" s="43"/>
    </row>
    <row r="179" customFormat="false" ht="51.75" hidden="false" customHeight="true" outlineLevel="0" collapsed="false">
      <c r="A179" s="43" t="s">
        <v>1492</v>
      </c>
      <c r="B179" s="43"/>
      <c r="C179" s="43"/>
      <c r="D179" s="43"/>
      <c r="E179" s="43"/>
      <c r="F179" s="43"/>
      <c r="G179" s="43"/>
      <c r="H179" s="43"/>
      <c r="I179" s="43"/>
    </row>
    <row r="180" customFormat="false" ht="51.75" hidden="false" customHeight="true" outlineLevel="0" collapsed="false">
      <c r="A180" s="43" t="s">
        <v>1493</v>
      </c>
      <c r="B180" s="43"/>
      <c r="C180" s="43"/>
      <c r="D180" s="43"/>
      <c r="E180" s="43"/>
      <c r="F180" s="43"/>
      <c r="G180" s="43"/>
      <c r="H180" s="43"/>
      <c r="I180" s="43"/>
    </row>
    <row r="181" customFormat="false" ht="25.5" hidden="false" customHeight="true" outlineLevel="0" collapsed="false">
      <c r="A181" s="43" t="s">
        <v>1494</v>
      </c>
      <c r="B181" s="43"/>
      <c r="C181" s="43"/>
      <c r="D181" s="43"/>
      <c r="E181" s="43"/>
      <c r="F181" s="43"/>
      <c r="G181" s="43"/>
      <c r="H181" s="43"/>
      <c r="I181" s="43"/>
    </row>
    <row r="182" customFormat="false" ht="39" hidden="false" customHeight="true" outlineLevel="0" collapsed="false">
      <c r="A182" s="43" t="s">
        <v>1495</v>
      </c>
      <c r="B182" s="43"/>
      <c r="C182" s="43"/>
      <c r="D182" s="43"/>
      <c r="E182" s="43"/>
      <c r="F182" s="43"/>
      <c r="G182" s="43"/>
      <c r="H182" s="43"/>
      <c r="I182" s="43"/>
    </row>
    <row r="183" customFormat="false" ht="39" hidden="false" customHeight="true" outlineLevel="0" collapsed="false">
      <c r="A183" s="43" t="s">
        <v>1496</v>
      </c>
      <c r="B183" s="43"/>
      <c r="C183" s="43"/>
      <c r="D183" s="43"/>
      <c r="E183" s="43"/>
      <c r="F183" s="43"/>
      <c r="G183" s="43"/>
      <c r="H183" s="43"/>
      <c r="I183" s="43"/>
    </row>
    <row r="184" customFormat="false" ht="15" hidden="false" customHeight="true" outlineLevel="0" collapsed="false">
      <c r="A184" s="43" t="s">
        <v>1497</v>
      </c>
      <c r="B184" s="43"/>
      <c r="C184" s="43"/>
      <c r="D184" s="43"/>
      <c r="E184" s="43"/>
      <c r="F184" s="43"/>
      <c r="G184" s="43"/>
      <c r="H184" s="43"/>
      <c r="I184" s="43"/>
    </row>
    <row r="185" customFormat="false" ht="15" hidden="false" customHeight="true" outlineLevel="0" collapsed="false">
      <c r="A185" s="43" t="s">
        <v>1498</v>
      </c>
      <c r="B185" s="43"/>
      <c r="C185" s="43"/>
      <c r="D185" s="43"/>
      <c r="E185" s="43"/>
      <c r="F185" s="43"/>
      <c r="G185" s="43"/>
      <c r="H185" s="43"/>
      <c r="I185" s="43"/>
    </row>
    <row r="186" customFormat="false" ht="25.5" hidden="false" customHeight="true" outlineLevel="0" collapsed="false">
      <c r="A186" s="43" t="s">
        <v>1499</v>
      </c>
      <c r="B186" s="43"/>
      <c r="C186" s="43"/>
      <c r="D186" s="43"/>
      <c r="E186" s="43"/>
      <c r="F186" s="43"/>
      <c r="G186" s="43"/>
      <c r="H186" s="43"/>
      <c r="I186" s="43"/>
    </row>
    <row r="187" customFormat="false" ht="39" hidden="false" customHeight="true" outlineLevel="0" collapsed="false">
      <c r="A187" s="43" t="s">
        <v>1500</v>
      </c>
      <c r="B187" s="43"/>
      <c r="C187" s="43"/>
      <c r="D187" s="43"/>
      <c r="E187" s="43"/>
      <c r="F187" s="43"/>
      <c r="G187" s="43"/>
      <c r="H187" s="43"/>
      <c r="I187" s="43"/>
    </row>
    <row r="188" customFormat="false" ht="15" hidden="false" customHeight="true" outlineLevel="0" collapsed="false">
      <c r="A188" s="43" t="s">
        <v>1501</v>
      </c>
      <c r="B188" s="43"/>
      <c r="C188" s="43"/>
      <c r="D188" s="43"/>
      <c r="E188" s="43"/>
      <c r="F188" s="43"/>
      <c r="G188" s="43"/>
      <c r="H188" s="43"/>
      <c r="I188" s="43"/>
    </row>
    <row r="189" customFormat="false" ht="25.5" hidden="false" customHeight="true" outlineLevel="0" collapsed="false">
      <c r="A189" s="43" t="s">
        <v>1502</v>
      </c>
      <c r="B189" s="43"/>
      <c r="C189" s="43"/>
      <c r="D189" s="43"/>
      <c r="E189" s="43"/>
      <c r="F189" s="43"/>
      <c r="G189" s="43"/>
      <c r="H189" s="43"/>
      <c r="I189" s="43"/>
    </row>
    <row r="190" customFormat="false" ht="25.5" hidden="false" customHeight="true" outlineLevel="0" collapsed="false">
      <c r="A190" s="43" t="s">
        <v>1503</v>
      </c>
      <c r="B190" s="43"/>
      <c r="C190" s="43"/>
      <c r="D190" s="43"/>
      <c r="E190" s="43"/>
      <c r="F190" s="43"/>
      <c r="G190" s="43"/>
      <c r="H190" s="43"/>
      <c r="I190" s="43"/>
    </row>
    <row r="191" customFormat="false" ht="25.5" hidden="false" customHeight="true" outlineLevel="0" collapsed="false">
      <c r="A191" s="43" t="s">
        <v>1504</v>
      </c>
      <c r="B191" s="43"/>
      <c r="C191" s="43"/>
      <c r="D191" s="43"/>
      <c r="E191" s="43"/>
      <c r="F191" s="43"/>
      <c r="G191" s="43"/>
      <c r="H191" s="43"/>
      <c r="I191" s="43"/>
    </row>
    <row r="192" customFormat="false" ht="25.5" hidden="false" customHeight="true" outlineLevel="0" collapsed="false">
      <c r="A192" s="43" t="s">
        <v>1505</v>
      </c>
      <c r="B192" s="43"/>
      <c r="C192" s="43"/>
      <c r="D192" s="43"/>
      <c r="E192" s="43"/>
      <c r="F192" s="43"/>
      <c r="G192" s="43"/>
      <c r="H192" s="43"/>
      <c r="I192" s="43"/>
    </row>
    <row r="193" customFormat="false" ht="25.5" hidden="false" customHeight="true" outlineLevel="0" collapsed="false">
      <c r="A193" s="43" t="s">
        <v>1506</v>
      </c>
      <c r="B193" s="43"/>
      <c r="C193" s="43"/>
      <c r="D193" s="43"/>
      <c r="E193" s="43"/>
      <c r="F193" s="43"/>
      <c r="G193" s="43"/>
      <c r="H193" s="43"/>
      <c r="I193" s="43"/>
    </row>
    <row r="194" customFormat="false" ht="39" hidden="false" customHeight="true" outlineLevel="0" collapsed="false">
      <c r="A194" s="43" t="s">
        <v>1507</v>
      </c>
      <c r="B194" s="43"/>
      <c r="C194" s="43"/>
      <c r="D194" s="43"/>
      <c r="E194" s="43"/>
      <c r="F194" s="43"/>
      <c r="G194" s="43"/>
      <c r="H194" s="43"/>
      <c r="I194" s="43"/>
    </row>
    <row r="195" customFormat="false" ht="15" hidden="false" customHeight="true" outlineLevel="0" collapsed="false">
      <c r="A195" s="43" t="s">
        <v>1508</v>
      </c>
      <c r="B195" s="43"/>
      <c r="C195" s="43"/>
      <c r="D195" s="43"/>
      <c r="E195" s="43"/>
      <c r="F195" s="43"/>
      <c r="G195" s="43"/>
      <c r="H195" s="43"/>
      <c r="I195" s="43"/>
    </row>
    <row r="196" customFormat="false" ht="25.5" hidden="false" customHeight="true" outlineLevel="0" collapsed="false">
      <c r="A196" s="43" t="s">
        <v>1509</v>
      </c>
      <c r="B196" s="43"/>
      <c r="C196" s="43"/>
      <c r="D196" s="43"/>
      <c r="E196" s="43"/>
      <c r="F196" s="43"/>
      <c r="G196" s="43"/>
      <c r="H196" s="43"/>
      <c r="I196" s="43"/>
    </row>
    <row r="197" customFormat="false" ht="15" hidden="false" customHeight="true" outlineLevel="0" collapsed="false">
      <c r="A197" s="43" t="s">
        <v>1510</v>
      </c>
      <c r="B197" s="43"/>
      <c r="C197" s="43"/>
      <c r="D197" s="43"/>
      <c r="E197" s="43"/>
      <c r="F197" s="43"/>
      <c r="G197" s="43"/>
      <c r="H197" s="43"/>
      <c r="I197" s="43"/>
    </row>
    <row r="198" customFormat="false" ht="15" hidden="false" customHeight="true" outlineLevel="0" collapsed="false">
      <c r="A198" s="43" t="s">
        <v>1511</v>
      </c>
      <c r="B198" s="43"/>
      <c r="C198" s="43"/>
      <c r="D198" s="43"/>
      <c r="E198" s="43"/>
      <c r="F198" s="43"/>
      <c r="G198" s="43"/>
      <c r="H198" s="43"/>
      <c r="I198" s="43"/>
    </row>
    <row r="199" customFormat="false" ht="15" hidden="false" customHeight="true" outlineLevel="0" collapsed="false">
      <c r="A199" s="43" t="s">
        <v>1512</v>
      </c>
      <c r="B199" s="43"/>
      <c r="C199" s="43"/>
      <c r="D199" s="43"/>
      <c r="E199" s="43"/>
      <c r="F199" s="43"/>
      <c r="G199" s="43"/>
      <c r="H199" s="43"/>
      <c r="I199" s="43"/>
    </row>
    <row r="200" customFormat="false" ht="15" hidden="false" customHeight="true" outlineLevel="0" collapsed="false">
      <c r="A200" s="43" t="s">
        <v>1513</v>
      </c>
      <c r="B200" s="43"/>
      <c r="C200" s="43"/>
      <c r="D200" s="43"/>
      <c r="E200" s="43"/>
      <c r="F200" s="43"/>
      <c r="G200" s="43"/>
      <c r="H200" s="43"/>
      <c r="I200" s="43"/>
    </row>
    <row r="201" customFormat="false" ht="39" hidden="false" customHeight="true" outlineLevel="0" collapsed="false">
      <c r="A201" s="43" t="s">
        <v>1514</v>
      </c>
      <c r="B201" s="43"/>
      <c r="C201" s="43"/>
      <c r="D201" s="43"/>
      <c r="E201" s="43"/>
      <c r="F201" s="43"/>
      <c r="G201" s="43"/>
      <c r="H201" s="43"/>
      <c r="I201" s="43"/>
    </row>
    <row r="202" customFormat="false" ht="25.5" hidden="false" customHeight="true" outlineLevel="0" collapsed="false">
      <c r="A202" s="43" t="s">
        <v>1515</v>
      </c>
      <c r="B202" s="43"/>
      <c r="C202" s="43"/>
      <c r="D202" s="43"/>
      <c r="E202" s="43"/>
      <c r="F202" s="43"/>
      <c r="G202" s="43"/>
      <c r="H202" s="43"/>
      <c r="I202" s="43"/>
    </row>
    <row r="203" customFormat="false" ht="39" hidden="false" customHeight="true" outlineLevel="0" collapsed="false">
      <c r="A203" s="43" t="s">
        <v>1516</v>
      </c>
      <c r="B203" s="43"/>
      <c r="C203" s="43"/>
      <c r="D203" s="43"/>
      <c r="E203" s="43"/>
      <c r="F203" s="43"/>
      <c r="G203" s="43"/>
      <c r="H203" s="43"/>
      <c r="I203" s="43"/>
    </row>
    <row r="204" customFormat="false" ht="15" hidden="false" customHeight="true" outlineLevel="0" collapsed="false">
      <c r="A204" s="43" t="s">
        <v>1517</v>
      </c>
      <c r="B204" s="43"/>
      <c r="C204" s="43"/>
      <c r="D204" s="43"/>
      <c r="E204" s="43"/>
      <c r="F204" s="43"/>
      <c r="G204" s="43"/>
      <c r="H204" s="43"/>
      <c r="I204" s="43"/>
    </row>
    <row r="205" customFormat="false" ht="15" hidden="false" customHeight="true" outlineLevel="0" collapsed="false">
      <c r="A205" s="43" t="s">
        <v>1518</v>
      </c>
      <c r="B205" s="43"/>
      <c r="C205" s="43"/>
      <c r="D205" s="43"/>
      <c r="E205" s="43"/>
      <c r="F205" s="43"/>
      <c r="G205" s="43"/>
      <c r="H205" s="43"/>
      <c r="I205" s="43"/>
    </row>
    <row r="206" customFormat="false" ht="25.5" hidden="false" customHeight="true" outlineLevel="0" collapsed="false">
      <c r="A206" s="43" t="s">
        <v>1519</v>
      </c>
      <c r="B206" s="43"/>
      <c r="C206" s="43"/>
      <c r="D206" s="43"/>
      <c r="E206" s="43"/>
      <c r="F206" s="43"/>
      <c r="G206" s="43"/>
      <c r="H206" s="43"/>
      <c r="I206" s="43"/>
    </row>
    <row r="207" customFormat="false" ht="39" hidden="false" customHeight="true" outlineLevel="0" collapsed="false">
      <c r="A207" s="43" t="s">
        <v>1520</v>
      </c>
      <c r="B207" s="43"/>
      <c r="C207" s="43"/>
      <c r="D207" s="43"/>
      <c r="E207" s="43"/>
      <c r="F207" s="43"/>
      <c r="G207" s="43"/>
      <c r="H207" s="43"/>
      <c r="I207" s="43"/>
    </row>
    <row r="208" customFormat="false" ht="25.5" hidden="false" customHeight="true" outlineLevel="0" collapsed="false">
      <c r="A208" s="43" t="s">
        <v>1521</v>
      </c>
      <c r="B208" s="43"/>
      <c r="C208" s="43"/>
      <c r="D208" s="43"/>
      <c r="E208" s="43"/>
      <c r="F208" s="43"/>
      <c r="G208" s="43"/>
      <c r="H208" s="43"/>
      <c r="I208" s="43"/>
    </row>
    <row r="209" customFormat="false" ht="39" hidden="false" customHeight="true" outlineLevel="0" collapsed="false">
      <c r="A209" s="43" t="s">
        <v>1522</v>
      </c>
      <c r="B209" s="43"/>
      <c r="C209" s="43"/>
      <c r="D209" s="43"/>
      <c r="E209" s="43"/>
      <c r="F209" s="43"/>
      <c r="G209" s="43"/>
      <c r="H209" s="43"/>
      <c r="I209" s="43"/>
    </row>
    <row r="210" customFormat="false" ht="15" hidden="false" customHeight="true" outlineLevel="0" collapsed="false">
      <c r="A210" s="43" t="s">
        <v>1523</v>
      </c>
      <c r="B210" s="43"/>
      <c r="C210" s="43"/>
      <c r="D210" s="43"/>
      <c r="E210" s="43"/>
      <c r="F210" s="43"/>
      <c r="G210" s="43"/>
      <c r="H210" s="43"/>
      <c r="I210" s="43"/>
    </row>
    <row r="211" customFormat="false" ht="39" hidden="false" customHeight="true" outlineLevel="0" collapsed="false">
      <c r="A211" s="43" t="s">
        <v>1524</v>
      </c>
      <c r="B211" s="43"/>
      <c r="C211" s="43"/>
      <c r="D211" s="43"/>
      <c r="E211" s="43"/>
      <c r="F211" s="43"/>
      <c r="G211" s="43"/>
      <c r="H211" s="43"/>
      <c r="I211" s="43"/>
    </row>
    <row r="212" customFormat="false" ht="25.5" hidden="false" customHeight="true" outlineLevel="0" collapsed="false">
      <c r="A212" s="43" t="s">
        <v>1525</v>
      </c>
      <c r="B212" s="43"/>
      <c r="C212" s="43"/>
      <c r="D212" s="43"/>
      <c r="E212" s="43"/>
      <c r="F212" s="43"/>
      <c r="G212" s="43"/>
      <c r="H212" s="43"/>
      <c r="I212" s="43"/>
    </row>
    <row r="213" customFormat="false" ht="15" hidden="false" customHeight="true" outlineLevel="0" collapsed="false">
      <c r="A213" s="43" t="s">
        <v>1526</v>
      </c>
      <c r="B213" s="43"/>
      <c r="C213" s="43"/>
      <c r="D213" s="43"/>
      <c r="E213" s="43"/>
      <c r="F213" s="43"/>
      <c r="G213" s="43"/>
      <c r="H213" s="43"/>
      <c r="I213" s="43"/>
    </row>
    <row r="214" customFormat="false" ht="15" hidden="false" customHeight="true" outlineLevel="0" collapsed="false">
      <c r="A214" s="43" t="s">
        <v>1527</v>
      </c>
      <c r="B214" s="43"/>
      <c r="C214" s="43"/>
      <c r="D214" s="43"/>
      <c r="E214" s="43"/>
      <c r="F214" s="43"/>
      <c r="G214" s="43"/>
      <c r="H214" s="43"/>
      <c r="I214" s="43"/>
    </row>
    <row r="215" customFormat="false" ht="25.5" hidden="false" customHeight="true" outlineLevel="0" collapsed="false">
      <c r="A215" s="43" t="s">
        <v>1528</v>
      </c>
      <c r="B215" s="43"/>
      <c r="C215" s="43"/>
      <c r="D215" s="43"/>
      <c r="E215" s="43"/>
      <c r="F215" s="43"/>
      <c r="G215" s="43"/>
      <c r="H215" s="43"/>
      <c r="I215" s="43"/>
    </row>
    <row r="216" customFormat="false" ht="25.5" hidden="false" customHeight="true" outlineLevel="0" collapsed="false">
      <c r="A216" s="43" t="s">
        <v>1529</v>
      </c>
      <c r="B216" s="43"/>
      <c r="C216" s="43"/>
      <c r="D216" s="43"/>
      <c r="E216" s="43"/>
      <c r="F216" s="43"/>
      <c r="G216" s="43"/>
      <c r="H216" s="43"/>
      <c r="I216" s="43"/>
    </row>
    <row r="217" customFormat="false" ht="15" hidden="false" customHeight="true" outlineLevel="0" collapsed="false">
      <c r="A217" s="43" t="s">
        <v>1530</v>
      </c>
      <c r="B217" s="43"/>
      <c r="C217" s="43"/>
      <c r="D217" s="43"/>
      <c r="E217" s="43"/>
      <c r="F217" s="43"/>
      <c r="G217" s="43"/>
      <c r="H217" s="43"/>
      <c r="I217" s="43"/>
    </row>
  </sheetData>
  <mergeCells count="123">
    <mergeCell ref="A95:I95"/>
    <mergeCell ref="A96:I96"/>
    <mergeCell ref="A97:I97"/>
    <mergeCell ref="A98:I98"/>
    <mergeCell ref="A99:I99"/>
    <mergeCell ref="A100:I100"/>
    <mergeCell ref="A101:I101"/>
    <mergeCell ref="A102:I102"/>
    <mergeCell ref="A103:I103"/>
    <mergeCell ref="A104:I104"/>
    <mergeCell ref="A105:I105"/>
    <mergeCell ref="A106:I106"/>
    <mergeCell ref="A107:I107"/>
    <mergeCell ref="A108:I108"/>
    <mergeCell ref="A109:I109"/>
    <mergeCell ref="A110:I110"/>
    <mergeCell ref="A111:I111"/>
    <mergeCell ref="A112:I112"/>
    <mergeCell ref="A113:I113"/>
    <mergeCell ref="A114:I114"/>
    <mergeCell ref="A115:I115"/>
    <mergeCell ref="A116:I116"/>
    <mergeCell ref="A117:I117"/>
    <mergeCell ref="A118:I118"/>
    <mergeCell ref="A119:I119"/>
    <mergeCell ref="A120:I120"/>
    <mergeCell ref="A121:I121"/>
    <mergeCell ref="A122:I122"/>
    <mergeCell ref="A123:I123"/>
    <mergeCell ref="A124:I124"/>
    <mergeCell ref="A125:I125"/>
    <mergeCell ref="A126:I126"/>
    <mergeCell ref="A127:I127"/>
    <mergeCell ref="A128:I128"/>
    <mergeCell ref="A129:I129"/>
    <mergeCell ref="A130:I130"/>
    <mergeCell ref="A131:I131"/>
    <mergeCell ref="A132:I132"/>
    <mergeCell ref="A133:I133"/>
    <mergeCell ref="A134:I134"/>
    <mergeCell ref="A135:I135"/>
    <mergeCell ref="A136:I136"/>
    <mergeCell ref="A137:I137"/>
    <mergeCell ref="A138:I138"/>
    <mergeCell ref="A139:I139"/>
    <mergeCell ref="A140:I140"/>
    <mergeCell ref="A141:I141"/>
    <mergeCell ref="A142:I142"/>
    <mergeCell ref="A143:I143"/>
    <mergeCell ref="A144:I144"/>
    <mergeCell ref="A145:I145"/>
    <mergeCell ref="A146:I146"/>
    <mergeCell ref="A147:I147"/>
    <mergeCell ref="A148:I148"/>
    <mergeCell ref="A149:I149"/>
    <mergeCell ref="A150:I150"/>
    <mergeCell ref="A151:I151"/>
    <mergeCell ref="A152:I152"/>
    <mergeCell ref="A153:I153"/>
    <mergeCell ref="A154:I154"/>
    <mergeCell ref="A155:I155"/>
    <mergeCell ref="A156:I156"/>
    <mergeCell ref="A157:I157"/>
    <mergeCell ref="A158:I158"/>
    <mergeCell ref="A159:I159"/>
    <mergeCell ref="A160:I160"/>
    <mergeCell ref="A161:I161"/>
    <mergeCell ref="A162:I162"/>
    <mergeCell ref="A163:I163"/>
    <mergeCell ref="A164:I164"/>
    <mergeCell ref="A165:I165"/>
    <mergeCell ref="A166:I166"/>
    <mergeCell ref="A167:I167"/>
    <mergeCell ref="A168:I168"/>
    <mergeCell ref="A169:I169"/>
    <mergeCell ref="A170:I170"/>
    <mergeCell ref="A171:I171"/>
    <mergeCell ref="A172:I172"/>
    <mergeCell ref="A173:I173"/>
    <mergeCell ref="A174:I174"/>
    <mergeCell ref="A175:I175"/>
    <mergeCell ref="A176:I176"/>
    <mergeCell ref="A177:I177"/>
    <mergeCell ref="A178:I178"/>
    <mergeCell ref="A179:I179"/>
    <mergeCell ref="A180:I180"/>
    <mergeCell ref="A181:I181"/>
    <mergeCell ref="A182:I182"/>
    <mergeCell ref="A183:I183"/>
    <mergeCell ref="A184:I184"/>
    <mergeCell ref="A185:I185"/>
    <mergeCell ref="A186:I186"/>
    <mergeCell ref="A187:I187"/>
    <mergeCell ref="A188:I188"/>
    <mergeCell ref="A189:I189"/>
    <mergeCell ref="A190:I190"/>
    <mergeCell ref="A191:I191"/>
    <mergeCell ref="A192:I192"/>
    <mergeCell ref="A193:I193"/>
    <mergeCell ref="A194:I194"/>
    <mergeCell ref="A195:I195"/>
    <mergeCell ref="A196:I196"/>
    <mergeCell ref="A197:I197"/>
    <mergeCell ref="A198:I198"/>
    <mergeCell ref="A199:I199"/>
    <mergeCell ref="A200:I200"/>
    <mergeCell ref="A201:I201"/>
    <mergeCell ref="A202:I202"/>
    <mergeCell ref="A203:I203"/>
    <mergeCell ref="A204:I204"/>
    <mergeCell ref="A205:I205"/>
    <mergeCell ref="A206:I206"/>
    <mergeCell ref="A207:I207"/>
    <mergeCell ref="A208:I208"/>
    <mergeCell ref="A209:I209"/>
    <mergeCell ref="A210:I210"/>
    <mergeCell ref="A211:I211"/>
    <mergeCell ref="A212:I212"/>
    <mergeCell ref="A213:I213"/>
    <mergeCell ref="A214:I214"/>
    <mergeCell ref="A215:I215"/>
    <mergeCell ref="A216:I216"/>
    <mergeCell ref="A217:I2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62"/>
    <col collapsed="false" customWidth="true" hidden="false" outlineLevel="0" max="2" min="2" style="0" width="60"/>
  </cols>
  <sheetData>
    <row r="1" customFormat="false" ht="16.5" hidden="false" customHeight="true" outlineLevel="0" collapsed="false">
      <c r="A1" s="44" t="s">
        <v>1531</v>
      </c>
    </row>
    <row r="2" customFormat="false" ht="14.25" hidden="false" customHeight="true" outlineLevel="0" collapsed="false">
      <c r="A2" s="13" t="s">
        <v>1532</v>
      </c>
    </row>
    <row r="4" customFormat="false" ht="14.25" hidden="false" customHeight="true" outlineLevel="0" collapsed="false">
      <c r="A4" s="45" t="s">
        <v>1533</v>
      </c>
      <c r="B4" s="45" t="s">
        <v>1534</v>
      </c>
    </row>
    <row r="5" customFormat="false" ht="14.25" hidden="false" customHeight="true" outlineLevel="0" collapsed="false">
      <c r="A5" s="9" t="s">
        <v>1535</v>
      </c>
      <c r="B5" s="13" t="str">
        <f aca="false">IF((SUMPRODUCT((Species!$A$2:$A$300&lt;&gt;"")*(COUNTIFS('LD50 Sources'!$A$2:$A$1000,Species!$A$2:$A$300,'LD50 Sources'!$I$2:$I$1000,"Used")&lt;&gt;1)))=0,"OK","FAIL - "&amp;(SUMPRODUCT((Species!$A$2:$A$300&lt;&gt;"")*(COUNTIFS('LD50 Sources'!$A$2:$A$1000,Species!$A$2:$A$300,'LD50 Sources'!$I$2:$I$1000,"Used")&lt;&gt;1)))&amp;" rows")</f>
        <v>OK</v>
      </c>
    </row>
    <row r="6" customFormat="false" ht="14.25" hidden="false" customHeight="true" outlineLevel="0" collapsed="false">
      <c r="A6" s="9" t="s">
        <v>1536</v>
      </c>
      <c r="B6" s="13" t="str">
        <f aca="false">IF((SUMPRODUCT((Species!$A$2:$A$300&lt;&gt;"")*(COUNTIFS('Yield Sources'!$A$2:$A$1000,Species!$A$2:$A$300,'Yield Sources'!$K$2:$K$1000,"Used")&gt;1)))=0,"OK","FAIL - "&amp;(SUMPRODUCT((Species!$A$2:$A$300&lt;&gt;"")*(COUNTIFS('Yield Sources'!$A$2:$A$1000,Species!$A$2:$A$300,'Yield Sources'!$K$2:$K$1000,"Used")&gt;1)))&amp;" rows")</f>
        <v>OK</v>
      </c>
    </row>
    <row r="7" customFormat="false" ht="14.25" hidden="false" customHeight="true" outlineLevel="0" collapsed="false">
      <c r="A7" s="9" t="s">
        <v>1537</v>
      </c>
      <c r="B7" s="13" t="str">
        <f aca="false">IF((SUMPRODUCT(('Clinical Sources'!$N$2:$N$1000&lt;&gt;"")*(COUNTIF('Clinical Sources'!$N$2:$N$1000,'Clinical Sources'!$N$2:$N$1000)&gt;1)))=0,"OK","FAIL - "&amp;(SUMPRODUCT(('Clinical Sources'!$N$2:$N$1000&lt;&gt;"")*(COUNTIF('Clinical Sources'!$N$2:$N$1000,'Clinical Sources'!$N$2:$N$1000)&gt;1)))&amp;" rows")</f>
        <v>OK</v>
      </c>
    </row>
    <row r="8" customFormat="false" ht="14.25" hidden="false" customHeight="true" outlineLevel="0" collapsed="false">
      <c r="A8" s="9" t="s">
        <v>1538</v>
      </c>
      <c r="B8" s="13" t="str">
        <f aca="false">IF((SUMPRODUCT(('LD50 Sources'!$A$2:$A$1000&lt;&gt;"")*ISNA(MATCH('LD50 Sources'!$A$2:$A$1000,Species!$A$2:$A$300,0))))=0,"OK","FAIL - "&amp;(SUMPRODUCT(('LD50 Sources'!$A$2:$A$1000&lt;&gt;"")*ISNA(MATCH('LD50 Sources'!$A$2:$A$1000,Species!$A$2:$A$300,0))))&amp;" rows")</f>
        <v>OK</v>
      </c>
    </row>
    <row r="9" customFormat="false" ht="14.25" hidden="false" customHeight="true" outlineLevel="0" collapsed="false">
      <c r="A9" s="9" t="s">
        <v>1539</v>
      </c>
      <c r="B9" s="13" t="str">
        <f aca="false">IF((SUMPRODUCT(('Yield Sources'!$A$2:$A$1000&lt;&gt;"")*ISNA(MATCH('Yield Sources'!$A$2:$A$1000,Species!$A$2:$A$300,0))))=0,"OK","FAIL - "&amp;(SUMPRODUCT(('Yield Sources'!$A$2:$A$1000&lt;&gt;"")*ISNA(MATCH('Yield Sources'!$A$2:$A$1000,Species!$A$2:$A$300,0))))&amp;" rows")</f>
        <v>OK</v>
      </c>
    </row>
    <row r="10" customFormat="false" ht="14.25" hidden="false" customHeight="true" outlineLevel="0" collapsed="false">
      <c r="A10" s="9" t="s">
        <v>1540</v>
      </c>
      <c r="B10" s="13" t="str">
        <f aca="false">IF((SUMPRODUCT(('Clinical Sources'!$A$2:$A$1000&lt;&gt;"")*ISNA(MATCH('Clinical Sources'!$A$2:$A$1000,Species!$A$2:$A$300,0))))=0,"OK","FAIL - "&amp;(SUMPRODUCT(('Clinical Sources'!$A$2:$A$1000&lt;&gt;"")*ISNA(MATCH('Clinical Sources'!$A$2:$A$1000,Species!$A$2:$A$300,0))))&amp;" rows")</f>
        <v>OK</v>
      </c>
    </row>
    <row r="11" customFormat="false" ht="14.25" hidden="false" customHeight="true" outlineLevel="0" collapsed="false">
      <c r="A11" s="9" t="s">
        <v>1541</v>
      </c>
      <c r="B11" s="13" t="str">
        <f aca="false">IF((SUMPRODUCT((Species!$A$2:$A$300&lt;&gt;"")*ISNA(MATCH(Species!$A$2:$A$300,Scores!$A$2:$A$300,0))))=0,"OK","FAIL - "&amp;(SUMPRODUCT((Species!$A$2:$A$300&lt;&gt;"")*ISNA(MATCH(Species!$A$2:$A$300,Scores!$A$2:$A$300,0))))&amp;" rows")</f>
        <v>OK</v>
      </c>
    </row>
    <row r="12" customFormat="false" ht="14.25" hidden="false" customHeight="true" outlineLevel="0" collapsed="false">
      <c r="A12" s="9" t="s">
        <v>1542</v>
      </c>
      <c r="B12" s="13" t="str">
        <f aca="false">IF((SUMPRODUCT((Scores!$A$2:$A$300&lt;&gt;"")*ISNA(MATCH(Scores!$A$2:$A$300,Species!$A$2:$A$300,0))))=0,"OK","FAIL - "&amp;(SUMPRODUCT((Scores!$A$2:$A$300&lt;&gt;"")*ISNA(MATCH(Scores!$A$2:$A$300,Species!$A$2:$A$300,0))))&amp;" rows")</f>
        <v>OK</v>
      </c>
    </row>
    <row r="13" customFormat="false" ht="14.25" hidden="false" customHeight="true" outlineLevel="0" collapsed="false">
      <c r="A13" s="9" t="s">
        <v>1543</v>
      </c>
      <c r="B13" s="13" t="str">
        <f aca="false">IF((SUMPRODUCT((Species!$A$2:$A$300&lt;&gt;"")*(COUNTIF(Species!$A$2:$A$300,Species!$A$2:$A$300)&gt;1)))=0,"OK","FAIL - "&amp;(SUMPRODUCT((Species!$A$2:$A$300&lt;&gt;"")*(COUNTIF(Species!$A$2:$A$300,Species!$A$2:$A$300)&gt;1)))&amp;" rows")</f>
        <v>OK</v>
      </c>
    </row>
    <row r="14" customFormat="false" ht="14.25" hidden="false" customHeight="true" outlineLevel="0" collapsed="false">
      <c r="A14" s="9" t="s">
        <v>1544</v>
      </c>
      <c r="B14" s="13" t="str">
        <f aca="false">IF((SUMPRODUCT(ISNUMBER(Scores!$C$2:$C$300)*(Scores!$C$2:$C$300&lt;0))+SUMPRODUCT(ISNUMBER(Scores!$E$2:$E$300)*(Scores!$E$2:$E$300&lt;0))+SUMPRODUCT(ISNUMBER(Scores!$K$2:$P$300)*(Scores!$K$2:$P$300&lt;0)))=0,"OK","FAIL - a blank fed arithmetic as 0 - "&amp;(SUMPRODUCT(ISNUMBER(Scores!$C$2:$C$300)*(Scores!$C$2:$C$300&lt;0))+SUMPRODUCT(ISNUMBER(Scores!$E$2:$E$300)*(Scores!$E$2:$E$300&lt;0))+SUMPRODUCT(ISNUMBER(Scores!$K$2:$P$300)*(Scores!$K$2:$P$300&lt;0)))&amp;" rows")</f>
        <v>OK</v>
      </c>
    </row>
    <row r="15" customFormat="false" ht="14.25" hidden="false" customHeight="true" outlineLevel="0" collapsed="false">
      <c r="A15" s="9" t="s">
        <v>1545</v>
      </c>
      <c r="B15" s="13" t="str">
        <f aca="false">IF((SUMPRODUCT(ISNUMBER(Scores!$C$2:$C$300)*(Scores!$C$2:$C$300&gt;100))+SUMPRODUCT(ISNUMBER(Scores!$E$2:$E$300)*(Scores!$E$2:$E$300&gt;100))+SUMPRODUCT(ISNUMBER(Scores!$K$2:$P$300)*(Scores!$K$2:$P$300&gt;100)))=0,"OK","FAIL - "&amp;(SUMPRODUCT(ISNUMBER(Scores!$C$2:$C$300)*(Scores!$C$2:$C$300&gt;100))+SUMPRODUCT(ISNUMBER(Scores!$E$2:$E$300)*(Scores!$E$2:$E$300&gt;100))+SUMPRODUCT(ISNUMBER(Scores!$K$2:$P$300)*(Scores!$K$2:$P$300&gt;100)))&amp;" rows")</f>
        <v>OK</v>
      </c>
    </row>
    <row r="16" customFormat="false" ht="14.25" hidden="false" customHeight="true" outlineLevel="0" collapsed="false">
      <c r="A16" s="9" t="s">
        <v>1546</v>
      </c>
      <c r="B16" s="13" t="str">
        <f aca="false">IF((SUMPRODUCT((Species!$Q$2:$Q$300&lt;&gt;"")*ISNA(MATCH(Species!$Q$2:$Q$300,onset_labels,0))))=0,"OK","FAIL - unmapped - "&amp;(SUMPRODUCT((Species!$Q$2:$Q$300&lt;&gt;"")*ISNA(MATCH(Species!$Q$2:$Q$300,onset_labels,0))))&amp;" rows")</f>
        <v>OK</v>
      </c>
    </row>
    <row r="17" customFormat="false" ht="14.25" hidden="false" customHeight="true" outlineLevel="0" collapsed="false">
      <c r="A17" s="9" t="s">
        <v>1547</v>
      </c>
      <c r="B17" s="13" t="str">
        <f aca="false">IF((SUMPRODUCT((Species!$R$2:$R$300&lt;&gt;"")*ISNA(MATCH(Species!$R$2:$R$300,access_labels,0))))=0,"OK","FAIL - unmapped - "&amp;(SUMPRODUCT((Species!$R$2:$R$300&lt;&gt;"")*ISNA(MATCH(Species!$R$2:$R$300,access_labels,0))))&amp;" rows")</f>
        <v>OK</v>
      </c>
    </row>
    <row r="18" customFormat="false" ht="14.25" hidden="false" customHeight="true" outlineLevel="0" collapsed="false">
      <c r="A18" s="9" t="s">
        <v>1548</v>
      </c>
      <c r="B18" s="13" t="str">
        <f aca="false">IF(((5-COUNT(onset_ord))+(5-COUNT(access_ord)))=0,"OK","FAIL - blank ordinal - "&amp;((5-COUNT(onset_ord))+(5-COUNT(access_ord)))&amp;" rows")</f>
        <v>OK</v>
      </c>
    </row>
    <row r="19" customFormat="false" ht="14.25" hidden="false" customHeight="true" outlineLevel="0" collapsed="false">
      <c r="A19" s="9" t="s">
        <v>1549</v>
      </c>
      <c r="B19" s="13" t="str">
        <f aca="false">IF((SUMPRODUCT(ISNUMBER(Species!$P$2:$P$300)*((Species!$P$2:$P$300&lt;1)+(Species!$P$2:$P$300&gt;5)+(Species!$P$2:$P$300&lt;&gt;INT(Species!$P$2:$P$300))&gt;0)))=0,"OK","FAIL - "&amp;(SUMPRODUCT(ISNUMBER(Species!$P$2:$P$300)*((Species!$P$2:$P$300&lt;1)+(Species!$P$2:$P$300&gt;5)+(Species!$P$2:$P$300&lt;&gt;INT(Species!$P$2:$P$300))&gt;0)))&amp;" rows")</f>
        <v>OK</v>
      </c>
    </row>
    <row r="20" customFormat="false" ht="14.25" hidden="false" customHeight="true" outlineLevel="0" collapsed="false">
      <c r="A20" s="9" t="s">
        <v>1550</v>
      </c>
      <c r="B20" s="13" t="str">
        <f aca="false">IF((SUMPRODUCT(ISNUMBER(Species!$O$2:$O$300)*((Species!$O$2:$O$300&lt;1)+(Species!$O$2:$O$300&gt;10)+(Species!$O$2:$O$300&lt;&gt;INT(Species!$O$2:$O$300))&gt;0)))=0,"OK","FAIL - "&amp;(SUMPRODUCT(ISNUMBER(Species!$O$2:$O$300)*((Species!$O$2:$O$300&lt;1)+(Species!$O$2:$O$300&gt;10)+(Species!$O$2:$O$300&lt;&gt;INT(Species!$O$2:$O$300))&gt;0)))&amp;" rows")</f>
        <v>OK</v>
      </c>
    </row>
    <row r="21" customFormat="false" ht="14.25" hidden="false" customHeight="true" outlineLevel="0" collapsed="false">
      <c r="A21" s="9" t="s">
        <v>1551</v>
      </c>
      <c r="B21" s="13" t="str">
        <f aca="false">IF((SUMPRODUCT(ISNUMBER('LD50 Sources'!$C$2:$C$1000)*('LD50 Sources'!$C$2:$C$1000&lt;=0))+SUMPRODUCT(('LD50 Sources'!$A$2:$A$1000&lt;&gt;"")*NOT(ISNUMBER('LD50 Sources'!$C$2:$C$1000))))=0,"OK","FAIL - log scale would break - "&amp;(SUMPRODUCT(ISNUMBER('LD50 Sources'!$C$2:$C$1000)*('LD50 Sources'!$C$2:$C$1000&lt;=0))+SUMPRODUCT(('LD50 Sources'!$A$2:$A$1000&lt;&gt;"")*NOT(ISNUMBER('LD50 Sources'!$C$2:$C$1000))))&amp;" rows")</f>
        <v>OK</v>
      </c>
    </row>
    <row r="22" customFormat="false" ht="14.25" hidden="false" customHeight="true" outlineLevel="0" collapsed="false">
      <c r="A22" s="9" t="s">
        <v>1552</v>
      </c>
      <c r="B22" s="13" t="str">
        <f aca="false">IF((SUMPRODUCT(ISNUMBER('Yield Sources'!$C$2:$C$1000)*ISNUMBER('Yield Sources'!$D$2:$D$1000)*('Yield Sources'!$C$2:$C$1000&gt;'Yield Sources'!$D$2:$D$1000)))=0,"OK","FAIL - "&amp;(SUMPRODUCT(ISNUMBER('Yield Sources'!$C$2:$C$1000)*ISNUMBER('Yield Sources'!$D$2:$D$1000)*('Yield Sources'!$C$2:$C$1000&gt;'Yield Sources'!$D$2:$D$1000)))&amp;" rows")</f>
        <v>OK</v>
      </c>
    </row>
    <row r="23" customFormat="false" ht="14.25" hidden="false" customHeight="true" outlineLevel="0" collapsed="false">
      <c r="A23" s="9" t="s">
        <v>1553</v>
      </c>
      <c r="B23" s="13" t="str">
        <f aca="false">IF((SUMPRODUCT(('LD50 Sources'!$A$2:$A$1000&lt;&gt;"")*ISNA(MATCH('LD50 Sources'!$I$2:$I$1000,{"Used","Alternative","Vehicle variant","Other route","Rejected"},0)))+SUMPRODUCT(('Yield Sources'!$A$2:$A$1000&lt;&gt;"")*ISNA(MATCH('Yield Sources'!$K$2:$K$1000,{"Used","Alternative","Other basis","Rejected"},0)))+SUMPRODUCT(('Clinical Sources'!$A$2:$A$1000&lt;&gt;"")*ISNA(MATCH('Clinical Sources'!$K$2:$K$1000,{"Used","Alternative","Rejected"},0))))=0,"OK","FAIL - "&amp;(SUMPRODUCT(('LD50 Sources'!$A$2:$A$1000&lt;&gt;"")*ISNA(MATCH('LD50 Sources'!$I$2:$I$1000,{"Used","Alternative","Vehicle variant","Other route","Rejected"},0)))+SUMPRODUCT(('Yield Sources'!$A$2:$A$1000&lt;&gt;"")*ISNA(MATCH('Yield Sources'!$K$2:$K$1000,{"Used","Alternative","Other basis","Rejected"},0)))+SUMPRODUCT(('Clinical Sources'!$A$2:$A$1000&lt;&gt;"")*ISNA(MATCH('Clinical Sources'!$K$2:$K$1000,{"Used","Alternative","Rejected"},0))))&amp;" rows")</f>
        <v>OK</v>
      </c>
    </row>
    <row r="24" customFormat="false" ht="14.25" hidden="false" customHeight="true" outlineLevel="0" collapsed="false">
      <c r="A24" s="9" t="s">
        <v>1554</v>
      </c>
      <c r="B24" s="13" t="str">
        <f aca="false">IF(w_pot+w_qty&gt;0,"OK","FAIL - Venom Hazard undefined")</f>
        <v>OK</v>
      </c>
    </row>
    <row r="25" customFormat="false" ht="14.25" hidden="false" customHeight="true" outlineLevel="0" collapsed="false">
      <c r="A25" s="9" t="s">
        <v>1555</v>
      </c>
      <c r="B25" s="13" t="str">
        <f aca="false">IF(w_enc+w_bite+w_onset+w_access&gt;0,"OK","FAIL - Human Risk undefined")</f>
        <v>OK</v>
      </c>
    </row>
    <row r="26" customFormat="false" ht="14.25" hidden="false" customHeight="true" outlineLevel="0" collapsed="false">
      <c r="A26" s="9" t="s">
        <v>1556</v>
      </c>
      <c r="B26" s="13" t="str">
        <f aca="false">IF(AND(ISNUMBER(ord_floor),ISNUMBER(ord_ceil),ord_ceil&gt;ord_floor),"OK","FAIL - ceiling must exceed floor")</f>
        <v>OK</v>
      </c>
    </row>
    <row r="27" customFormat="false" ht="14.25" hidden="false" customHeight="true" outlineLevel="0" collapsed="false">
      <c r="A27" s="9" t="s">
        <v>1557</v>
      </c>
      <c r="B27" s="13" t="str">
        <f aca="false">IF(OR(onset_dir="mortality",onset_dir="urgency"),"OK - "&amp;onset_dir,"WARN - unrecognised, behaving as urgency")</f>
        <v>OK - mortality</v>
      </c>
    </row>
    <row r="28" customFormat="false" ht="14.25" hidden="false" customHeight="true" outlineLevel="0" collapsed="false">
      <c r="A28" s="9" t="s">
        <v>1558</v>
      </c>
      <c r="B28" s="13" t="str">
        <f aca="false">COUNT(Scores!$C$2:$C$300)&amp;" of "&amp;COUNTA(Species!$A$2:$A$300)</f>
        <v>78 of 94</v>
      </c>
    </row>
    <row r="29" customFormat="false" ht="14.25" hidden="false" customHeight="true" outlineLevel="0" collapsed="false">
      <c r="A29" s="9" t="s">
        <v>1559</v>
      </c>
      <c r="B29" s="13" t="str">
        <f aca="false">COUNT(Scores!$E$2:$E$300)&amp;" of "&amp;COUNTA(Species!$A$2:$A$300)</f>
        <v>91 of 94</v>
      </c>
    </row>
    <row r="30" customFormat="false" ht="14.25" hidden="false" customHeight="true" outlineLevel="0" collapsed="false">
      <c r="A30" s="9" t="s">
        <v>1560</v>
      </c>
      <c r="B30" s="13" t="str">
        <f aca="false">COUNTIF(Species!$J$2:$J$300,"&gt;1.5")&amp;" species"</f>
        <v>7 species</v>
      </c>
    </row>
    <row r="31" customFormat="false" ht="14.25" hidden="false" customHeight="true" outlineLevel="0" collapsed="false">
      <c r="A31" s="9" t="s">
        <v>1561</v>
      </c>
      <c r="B31" s="13" t="str">
        <f aca="false">COUNTIF(Species!$N$2:$N$300,"&gt;1.5")&amp;" species"</f>
        <v>5 species</v>
      </c>
    </row>
    <row r="32" customFormat="false" ht="14.25" hidden="false" customHeight="true" outlineLevel="0" collapsed="false">
      <c r="A32" s="9" t="s">
        <v>1562</v>
      </c>
      <c r="B32" s="13" t="str">
        <f aca="false">SUMPRODUCT((Species!$H$2:$H$300&lt;&gt;"")*(Species!$H$2:$H$300&lt;&gt;"SC"))&amp;" species"</f>
        <v>7 species</v>
      </c>
    </row>
    <row r="33" customFormat="false" ht="14.25" hidden="false" customHeight="true" outlineLevel="0" collapsed="false">
      <c r="A33" s="9" t="s">
        <v>1563</v>
      </c>
      <c r="B33" s="13" t="str">
        <f aca="false">SUMPRODUCT((Species!$A$2:$A$300&lt;&gt;"")*(Species!$P$2:$P$300=""))&amp;" species"</f>
        <v>5 species</v>
      </c>
    </row>
    <row r="34" customFormat="false" ht="14.25" hidden="false" customHeight="true" outlineLevel="0" collapsed="false">
      <c r="A34" s="9" t="s">
        <v>1564</v>
      </c>
      <c r="B34" s="13" t="str">
        <f aca="false">COUNTIFS('LD50 Sources'!$I$2:$I$1000,"Used",'LD50 Sources'!$H$2:$H$1000,"D")&amp;" rows"</f>
        <v>6 rows</v>
      </c>
    </row>
    <row r="35" customFormat="false" ht="14.25" hidden="false" customHeight="true" outlineLevel="0" collapsed="false">
      <c r="A35" s="13" t="s">
        <v>1565</v>
      </c>
      <c r="B35" s="13" t="str">
        <f aca="false">IF((SUMPRODUCT((Scores!$A$2:$A$300&lt;&gt;"")*ISNA(MATCH(Scores!$A$2:$A$300,Combined!$A$2:$A$300,0))))=0,"OK","FAIL - "&amp;(SUMPRODUCT((Scores!$A$2:$A$300&lt;&gt;"")*ISNA(MATCH(Scores!$A$2:$A$300,Combined!$A$2:$A$300,0))))&amp;" rows")</f>
        <v>OK</v>
      </c>
    </row>
    <row r="36" customFormat="false" ht="14.25" hidden="false" customHeight="true" outlineLevel="0" collapsed="false">
      <c r="A36" s="13" t="s">
        <v>1566</v>
      </c>
      <c r="B36" s="13" t="str">
        <f aca="false">IF((SUMPRODUCT((Combined!$A$2:$A$300&lt;&gt;"")*ISNA(MATCH(Combined!$A$2:$A$300,Scores!$A$2:$A$300,0))))=0,"OK","FAIL - "&amp;(SUMPRODUCT((Combined!$A$2:$A$300&lt;&gt;"")*ISNA(MATCH(Combined!$A$2:$A$300,Scores!$A$2:$A$300,0))))&amp;" rows")</f>
        <v>OK</v>
      </c>
    </row>
    <row r="37" customFormat="false" ht="14.25" hidden="false" customHeight="true" outlineLevel="0" collapsed="false">
      <c r="A37" s="13" t="s">
        <v>1567</v>
      </c>
      <c r="B37" s="13" t="str">
        <f aca="false">IF(w_haz+w_risk&gt;0,"OK","FAIL - Combined score undefined")</f>
        <v>OK</v>
      </c>
    </row>
    <row r="38" customFormat="false" ht="14.25" hidden="false" customHeight="true" outlineLevel="0" collapsed="false">
      <c r="A38" s="13" t="s">
        <v>1568</v>
      </c>
      <c r="B38" s="13" t="str">
        <f aca="false">COUNT(Combined!$L$2:$L$300)&amp;" of "&amp;COUNTA(Species!$A$2:$A$300)</f>
        <v>78 of 94</v>
      </c>
    </row>
    <row r="39" customFormat="false" ht="14.25" hidden="false" customHeight="true" outlineLevel="0" collapsed="false">
      <c r="A39" s="13" t="s">
        <v>1569</v>
      </c>
      <c r="B39" s="13" t="str">
        <f aca="false">IF(SUMPRODUCT((Species!$A$2:$A$300&lt;&gt;"")*(Species!$W$2:$W$300&lt;&gt;"Y")*(((Species!$X$2:$X$300="Y")+(Species!$Y$2:$Y$300="Y")+(Species!$Z$2:$Z$300="Y"))&gt;0))=0,"OK","FAIL - "&amp;SUMPRODUCT((Species!$A$2:$A$300&lt;&gt;"")*(Species!$W$2:$W$300&lt;&gt;"Y")*(((Species!$X$2:$X$300="Y")+(Species!$Y$2:$Y$300="Y")+(Species!$Z$2:$Z$300="Y"))&gt;0))&amp;" rows")</f>
        <v>OK</v>
      </c>
    </row>
    <row r="40" customFormat="false" ht="14.25" hidden="false" customHeight="true" outlineLevel="0" collapsed="false">
      <c r="A40" s="13" t="s">
        <v>1570</v>
      </c>
      <c r="B40" s="13" t="str">
        <f aca="false">SUMPRODUCT((Species!$A$2:$A$300&lt;&gt;"")*(Species!$F$2:$F$300=""))&amp;" species"</f>
        <v>2 species</v>
      </c>
    </row>
    <row r="41" customFormat="false" ht="14.25" hidden="false" customHeight="true" outlineLevel="0" collapsed="false">
      <c r="A41" s="13" t="s">
        <v>1571</v>
      </c>
      <c r="B41" s="13" t="str">
        <f aca="false">SUMPRODUCT((Species!$W$2:$W$300="Y")*(Species!$X$2:$X$300&lt;&gt;"Y")*(Species!$Y$2:$Y$300&lt;&gt;"Y")*(Species!$Z$2:$Z$300&lt;&gt;"Y"))&amp;" species"</f>
        <v>36 species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2026-09-28T08:16:49Z</dcterms:created>
  <dc:creator>openpyxl</dc:creator>
  <dc:description/>
  <dc:language>en-US</dc:language>
  <cp:lastModifiedBy>Clydie Cronje</cp:lastModifiedBy>
  <dcterms:modified xsi:type="dcterms:W3CDTF">2026-09-30T07:25:31Z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